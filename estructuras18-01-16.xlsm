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ladi_xiuikf2\Desktop\estructuras\"/>
    </mc:Choice>
  </mc:AlternateContent>
  <bookViews>
    <workbookView xWindow="0" yWindow="0" windowWidth="28800" windowHeight="12330"/>
  </bookViews>
  <sheets>
    <sheet name="datos" sheetId="1" r:id="rId1"/>
    <sheet name="cargas_barra" sheetId="8" r:id="rId2"/>
    <sheet name="rigidez_global_barra" sheetId="2" r:id="rId3"/>
    <sheet name="ensamblado_matrices_completo" sheetId="5" r:id="rId4"/>
    <sheet name="ke_reducida_solucion" sheetId="6" r:id="rId5"/>
    <sheet name="esfuerzos_barras_diagramas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1" i="2" l="1" a="1"/>
  <c r="O34" i="2" s="1"/>
  <c r="H31" i="2" a="1"/>
  <c r="H33" i="2" s="1"/>
  <c r="O23" i="2" a="1"/>
  <c r="O26" i="2" s="1"/>
  <c r="H25" i="2"/>
  <c r="H23" i="2" a="1"/>
  <c r="H28" i="2" s="1"/>
  <c r="H26" i="2" l="1"/>
  <c r="Q26" i="2" s="1"/>
  <c r="O23" i="2"/>
  <c r="O27" i="2"/>
  <c r="H34" i="2"/>
  <c r="Q34" i="2" s="1"/>
  <c r="H23" i="2"/>
  <c r="Q23" i="2" s="1"/>
  <c r="H27" i="2"/>
  <c r="Q27" i="2" s="1"/>
  <c r="O24" i="2"/>
  <c r="O28" i="2"/>
  <c r="Q28" i="2" s="1"/>
  <c r="H31" i="2"/>
  <c r="Q31" i="2" s="1"/>
  <c r="H35" i="2"/>
  <c r="O32" i="2"/>
  <c r="O36" i="2"/>
  <c r="O31" i="2"/>
  <c r="O35" i="2"/>
  <c r="H24" i="2"/>
  <c r="Q24" i="2" s="1"/>
  <c r="O25" i="2"/>
  <c r="Q25" i="2" s="1"/>
  <c r="H32" i="2"/>
  <c r="Q32" i="2" s="1"/>
  <c r="H36" i="2"/>
  <c r="Q36" i="2" s="1"/>
  <c r="O33" i="2"/>
  <c r="Q33" i="2" s="1"/>
  <c r="H3" i="1"/>
  <c r="H2" i="1"/>
  <c r="Q35" i="2" l="1"/>
</calcChain>
</file>

<file path=xl/comments1.xml><?xml version="1.0" encoding="utf-8"?>
<comments xmlns="http://schemas.openxmlformats.org/spreadsheetml/2006/main">
  <authors>
    <author>Wladi Arce</author>
  </authors>
  <commentList>
    <comment ref="J14" authorId="0" shapeId="0">
      <text>
        <r>
          <rPr>
            <b/>
            <sz val="9"/>
            <color indexed="81"/>
            <rFont val="Tahoma"/>
            <family val="2"/>
          </rPr>
          <t>Wladi Arce:
**Pulsar borrar hojas si se habian hecho calculos previamente**
1) RELLENAR HOJA DATOS
2)PULSAR CALCULAR
*************************************
HACER COINCIDIR UNIDADES ENTRE E y F
*************************************
NUDOS Y BARRAS ORDENADOS NUMERICAMENTE ASCENDENTE
*************************************
EN LAS RESTRICCIONES
1 = MOVIMIENTO RESTINGIDO
0 = MOVIMIENTO PERMITIDO
F Nudos y F Empotramiento:
     - REFERENCIADAS A COORD. GLOBALES
     - VERDE: fuerzas exteriores aplicadas en los nudos
     - AZUL: fuerzas de empotramiento perfecto debidas a las cargas (calcular a mano y asignar a cada nudo)</t>
        </r>
      </text>
    </comment>
  </commentList>
</comments>
</file>

<file path=xl/sharedStrings.xml><?xml version="1.0" encoding="utf-8"?>
<sst xmlns="http://schemas.openxmlformats.org/spreadsheetml/2006/main" count="53" uniqueCount="46">
  <si>
    <t>N barra</t>
  </si>
  <si>
    <t>Nudo i</t>
  </si>
  <si>
    <t>Nudo j</t>
  </si>
  <si>
    <t>NUDOS</t>
  </si>
  <si>
    <t>MATRIZ RIGIDEZ LOCAL BARRA 1</t>
  </si>
  <si>
    <t>MATRIZ CAMBIO COORDENADAS BARRA 1</t>
  </si>
  <si>
    <t>MATRIZ RIGIDEZ GLOBAL BARRA 1</t>
  </si>
  <si>
    <t>MATRIZ RIGIDEZ LOCAL BARRA 2</t>
  </si>
  <si>
    <t>MATRIZ CAMBIO COORDENADAS BARRA 2</t>
  </si>
  <si>
    <t>MATRIZ RIGIDEZ GLOBAL BARRA 2</t>
  </si>
  <si>
    <t>A (m2)</t>
  </si>
  <si>
    <t>L (m)</t>
  </si>
  <si>
    <t>E (N/m2)</t>
  </si>
  <si>
    <t>I (m4)</t>
  </si>
  <si>
    <t>alfa (rad)</t>
  </si>
  <si>
    <t>Rx 1</t>
  </si>
  <si>
    <t>Ry 1</t>
  </si>
  <si>
    <t>despX 2</t>
  </si>
  <si>
    <t>giro 2</t>
  </si>
  <si>
    <t>RESULTADOS</t>
  </si>
  <si>
    <t>Fx (ext)</t>
  </si>
  <si>
    <t>Fy (ext)</t>
  </si>
  <si>
    <t>M (ext)</t>
  </si>
  <si>
    <t>Fx(emp)</t>
  </si>
  <si>
    <t>Fy (emp)</t>
  </si>
  <si>
    <t>M (emp)</t>
  </si>
  <si>
    <t>Restringir Δx</t>
  </si>
  <si>
    <t>Restringir Δy</t>
  </si>
  <si>
    <r>
      <t xml:space="preserve">Restringir </t>
    </r>
    <r>
      <rPr>
        <sz val="11"/>
        <color theme="1"/>
        <rFont val="Calibri"/>
        <family val="2"/>
      </rPr>
      <t>θ</t>
    </r>
  </si>
  <si>
    <t>INFORMACION</t>
  </si>
  <si>
    <t>M 1</t>
  </si>
  <si>
    <t>ESFUERZOS LOCALES BARRA 1</t>
  </si>
  <si>
    <t>Fx1</t>
  </si>
  <si>
    <t>Fy1</t>
  </si>
  <si>
    <t>M1</t>
  </si>
  <si>
    <t>Fx2</t>
  </si>
  <si>
    <t>Fy2</t>
  </si>
  <si>
    <t>M2</t>
  </si>
  <si>
    <t>ESFUERZOS LOCALES BARRA 2</t>
  </si>
  <si>
    <t>Fx3</t>
  </si>
  <si>
    <t>Fy3</t>
  </si>
  <si>
    <t>M3</t>
  </si>
  <si>
    <t>despY 2</t>
  </si>
  <si>
    <t>despY 3</t>
  </si>
  <si>
    <t>Rx 3</t>
  </si>
  <si>
    <t>M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</si>
</sst>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0" borderId="2" xfId="0" applyBorder="1" applyAlignment="1"/>
    <xf numFmtId="0" fontId="0" fillId="0" borderId="0" xfId="0" applyAlignment="1"/>
    <xf numFmtId="0" fontId="0" fillId="0" borderId="0" xfId="0" applyFill="1" applyBorder="1" applyAlignme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0" fontId="0" fillId="10" borderId="0" xfId="0" applyFill="1"/>
    <xf numFmtId="0" fontId="2" fillId="2" borderId="1" xfId="0" applyFont="1" applyFill="1" applyBorder="1"/>
    <xf numFmtId="0" fontId="4" fillId="11" borderId="3" xfId="0" applyFont="1" applyFill="1" applyBorder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0</xdr:row>
          <xdr:rowOff>85725</xdr:rowOff>
        </xdr:from>
        <xdr:to>
          <xdr:col>10</xdr:col>
          <xdr:colOff>428625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8</xdr:row>
          <xdr:rowOff>85725</xdr:rowOff>
        </xdr:from>
        <xdr:to>
          <xdr:col>10</xdr:col>
          <xdr:colOff>428625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Borrar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4</xdr:row>
          <xdr:rowOff>38100</xdr:rowOff>
        </xdr:from>
        <xdr:to>
          <xdr:col>10</xdr:col>
          <xdr:colOff>428625</xdr:colOff>
          <xdr:row>7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Cargar Barras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U14"/>
  <sheetViews>
    <sheetView showGridLines="0" tabSelected="1" workbookViewId="0">
      <selection activeCell="H27" sqref="H27"/>
    </sheetView>
  </sheetViews>
  <sheetFormatPr baseColWidth="10" defaultRowHeight="15" x14ac:dyDescent="0.25"/>
  <cols>
    <col min="1" max="3" width="8.7109375" customWidth="1"/>
    <col min="4" max="8" width="12.7109375" customWidth="1"/>
    <col min="9" max="11" width="16.140625" customWidth="1"/>
    <col min="12" max="12" width="8.7109375" customWidth="1"/>
    <col min="13" max="21" width="12.7109375" customWidth="1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L1" s="1" t="s">
        <v>3</v>
      </c>
      <c r="M1" s="13" t="s">
        <v>26</v>
      </c>
      <c r="N1" s="1" t="s">
        <v>27</v>
      </c>
      <c r="O1" s="1" t="s">
        <v>28</v>
      </c>
      <c r="P1" s="11" t="s">
        <v>20</v>
      </c>
      <c r="Q1" s="11" t="s">
        <v>21</v>
      </c>
      <c r="R1" s="11" t="s">
        <v>22</v>
      </c>
      <c r="S1" s="12" t="s">
        <v>23</v>
      </c>
      <c r="T1" s="12" t="s">
        <v>24</v>
      </c>
      <c r="U1" s="12" t="s">
        <v>25</v>
      </c>
    </row>
    <row r="2" spans="1:21" x14ac:dyDescent="0.25">
      <c r="A2">
        <v>1</v>
      </c>
      <c r="B2">
        <v>1</v>
      </c>
      <c r="C2">
        <v>2</v>
      </c>
      <c r="D2" s="2">
        <v>5.3800000000000002E-3</v>
      </c>
      <c r="E2" s="4">
        <v>7</v>
      </c>
      <c r="F2" s="4">
        <v>210000000</v>
      </c>
      <c r="G2" s="4">
        <v>8.3599999999999999E-5</v>
      </c>
      <c r="H2">
        <f>(PI()/2)</f>
        <v>1.5707963267948966</v>
      </c>
      <c r="L2">
        <v>1</v>
      </c>
      <c r="M2">
        <v>1</v>
      </c>
      <c r="N2">
        <v>1</v>
      </c>
      <c r="O2">
        <v>1</v>
      </c>
      <c r="P2">
        <v>0</v>
      </c>
      <c r="Q2">
        <v>0</v>
      </c>
      <c r="R2">
        <v>0</v>
      </c>
      <c r="S2">
        <v>-3.85</v>
      </c>
      <c r="T2">
        <v>0</v>
      </c>
      <c r="U2">
        <v>4.4916</v>
      </c>
    </row>
    <row r="3" spans="1:21" x14ac:dyDescent="0.25">
      <c r="A3">
        <v>2</v>
      </c>
      <c r="B3">
        <v>2</v>
      </c>
      <c r="C3">
        <v>3</v>
      </c>
      <c r="D3" s="3">
        <v>5.3800000000000002E-3</v>
      </c>
      <c r="E3" s="3">
        <v>12.561999999999999</v>
      </c>
      <c r="F3" s="4">
        <v>210000000</v>
      </c>
      <c r="G3" s="4">
        <v>8.3599999999999999E-5</v>
      </c>
      <c r="H3">
        <f>5.71*PI()/180</f>
        <v>9.965830028887622E-2</v>
      </c>
      <c r="L3">
        <v>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-3.85</v>
      </c>
      <c r="T3">
        <v>14.446300000000001</v>
      </c>
      <c r="U3">
        <v>25.754000000000001</v>
      </c>
    </row>
    <row r="4" spans="1:21" x14ac:dyDescent="0.25">
      <c r="D4" s="3"/>
      <c r="E4" s="3"/>
      <c r="F4" s="3"/>
      <c r="G4" s="3"/>
      <c r="L4">
        <v>3</v>
      </c>
      <c r="M4">
        <v>1</v>
      </c>
      <c r="N4">
        <v>0</v>
      </c>
      <c r="O4">
        <v>1</v>
      </c>
      <c r="P4">
        <v>0</v>
      </c>
      <c r="Q4">
        <v>0</v>
      </c>
      <c r="R4">
        <v>0</v>
      </c>
      <c r="S4">
        <v>0</v>
      </c>
      <c r="T4">
        <v>14.446300000000001</v>
      </c>
      <c r="U4">
        <v>-30.24</v>
      </c>
    </row>
    <row r="5" spans="1:21" x14ac:dyDescent="0.25">
      <c r="D5" s="3"/>
      <c r="E5" s="3"/>
      <c r="F5" s="4"/>
      <c r="G5" s="4"/>
    </row>
    <row r="13" spans="1:21" ht="15.75" thickBot="1" x14ac:dyDescent="0.3"/>
    <row r="14" spans="1:21" ht="16.5" thickBot="1" x14ac:dyDescent="0.3">
      <c r="J14" s="14" t="s">
        <v>29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estructura">
                <anchor moveWithCells="1" sizeWithCells="1">
                  <from>
                    <xdr:col>8</xdr:col>
                    <xdr:colOff>419100</xdr:colOff>
                    <xdr:row>0</xdr:row>
                    <xdr:rowOff>85725</xdr:rowOff>
                  </from>
                  <to>
                    <xdr:col>10</xdr:col>
                    <xdr:colOff>428625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_hoja">
                <anchor moveWithCells="1" sizeWithCells="1">
                  <from>
                    <xdr:col>8</xdr:col>
                    <xdr:colOff>419100</xdr:colOff>
                    <xdr:row>8</xdr:row>
                    <xdr:rowOff>85725</xdr:rowOff>
                  </from>
                  <to>
                    <xdr:col>10</xdr:col>
                    <xdr:colOff>428625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rgar_barras">
                <anchor moveWithCells="1" sizeWithCells="1">
                  <from>
                    <xdr:col>8</xdr:col>
                    <xdr:colOff>419100</xdr:colOff>
                    <xdr:row>4</xdr:row>
                    <xdr:rowOff>38100</xdr:rowOff>
                  </from>
                  <to>
                    <xdr:col>10</xdr:col>
                    <xdr:colOff>428625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C38" sqref="C3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36"/>
  <sheetViews>
    <sheetView zoomScale="85" zoomScaleNormal="85" workbookViewId="0">
      <selection activeCell="Q23" sqref="Q23:Q36"/>
    </sheetView>
  </sheetViews>
  <sheetFormatPr baseColWidth="10" defaultRowHeight="15" x14ac:dyDescent="0.25"/>
  <cols>
    <col min="7" max="7" width="11.85546875" bestFit="1" customWidth="1"/>
    <col min="8" max="8" width="12" bestFit="1" customWidth="1"/>
    <col min="22" max="30" width="11.5703125" bestFit="1" customWidth="1"/>
    <col min="31" max="31" width="12.28515625" bestFit="1" customWidth="1"/>
    <col min="32" max="36" width="11.5703125" bestFit="1" customWidth="1"/>
  </cols>
  <sheetData>
    <row r="1" spans="1:20" x14ac:dyDescent="0.25">
      <c r="A1" t="s">
        <v>4</v>
      </c>
      <c r="H1" t="s">
        <v>5</v>
      </c>
      <c r="O1" t="s">
        <v>6</v>
      </c>
    </row>
    <row r="2" spans="1:20" x14ac:dyDescent="0.25">
      <c r="A2" s="5">
        <v>161400</v>
      </c>
      <c r="B2" s="5">
        <v>0</v>
      </c>
      <c r="C2" s="5">
        <v>0</v>
      </c>
      <c r="D2" s="5">
        <v>-161400</v>
      </c>
      <c r="E2" s="5">
        <v>0</v>
      </c>
      <c r="F2" s="5">
        <v>0</v>
      </c>
      <c r="H2" s="6">
        <v>0</v>
      </c>
      <c r="I2" s="6">
        <v>-1</v>
      </c>
      <c r="J2" s="6">
        <v>0</v>
      </c>
      <c r="K2" s="6">
        <v>0</v>
      </c>
      <c r="L2" s="6">
        <v>0</v>
      </c>
      <c r="M2" s="6">
        <v>0</v>
      </c>
      <c r="O2" s="7">
        <v>614.20408163265301</v>
      </c>
      <c r="P2" s="7">
        <v>0</v>
      </c>
      <c r="Q2" s="7">
        <v>-2149.7142857142858</v>
      </c>
      <c r="R2" s="7">
        <v>-614.20408163265301</v>
      </c>
      <c r="S2" s="7">
        <v>0</v>
      </c>
      <c r="T2" s="7">
        <v>-2149.7142857142858</v>
      </c>
    </row>
    <row r="3" spans="1:20" x14ac:dyDescent="0.25">
      <c r="A3" s="5">
        <v>0</v>
      </c>
      <c r="B3" s="5">
        <v>614.20408163265301</v>
      </c>
      <c r="C3" s="5">
        <v>2149.7142857142858</v>
      </c>
      <c r="D3" s="5">
        <v>0</v>
      </c>
      <c r="E3" s="5">
        <v>-614.20408163265301</v>
      </c>
      <c r="F3" s="5">
        <v>2149.7142857142858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O3" s="7">
        <v>0</v>
      </c>
      <c r="P3" s="7">
        <v>161400</v>
      </c>
      <c r="Q3" s="7">
        <v>0</v>
      </c>
      <c r="R3" s="7">
        <v>0</v>
      </c>
      <c r="S3" s="7">
        <v>-161400</v>
      </c>
      <c r="T3" s="7">
        <v>0</v>
      </c>
    </row>
    <row r="4" spans="1:20" x14ac:dyDescent="0.25">
      <c r="A4" s="5">
        <v>0</v>
      </c>
      <c r="B4" s="5">
        <v>2149.7142857142858</v>
      </c>
      <c r="C4" s="5">
        <v>10032</v>
      </c>
      <c r="D4" s="5">
        <v>0</v>
      </c>
      <c r="E4" s="5">
        <v>-2149.7142857142858</v>
      </c>
      <c r="F4" s="5">
        <v>5016</v>
      </c>
      <c r="H4" s="6">
        <v>0</v>
      </c>
      <c r="I4" s="6">
        <v>0</v>
      </c>
      <c r="J4" s="6">
        <v>1</v>
      </c>
      <c r="K4" s="6">
        <v>0</v>
      </c>
      <c r="L4" s="6">
        <v>0</v>
      </c>
      <c r="M4" s="6">
        <v>0</v>
      </c>
      <c r="O4" s="7">
        <v>-2149.7142857142858</v>
      </c>
      <c r="P4" s="7">
        <v>0</v>
      </c>
      <c r="Q4" s="7">
        <v>10032</v>
      </c>
      <c r="R4" s="7">
        <v>2149.7142857142858</v>
      </c>
      <c r="S4" s="7">
        <v>0</v>
      </c>
      <c r="T4" s="7">
        <v>5016</v>
      </c>
    </row>
    <row r="5" spans="1:20" x14ac:dyDescent="0.25">
      <c r="A5" s="5">
        <v>-161400</v>
      </c>
      <c r="B5" s="5">
        <v>0</v>
      </c>
      <c r="C5" s="5">
        <v>0</v>
      </c>
      <c r="D5" s="5">
        <v>161400</v>
      </c>
      <c r="E5" s="5">
        <v>0</v>
      </c>
      <c r="F5" s="5">
        <v>0</v>
      </c>
      <c r="H5" s="6">
        <v>0</v>
      </c>
      <c r="I5" s="6">
        <v>0</v>
      </c>
      <c r="J5" s="6">
        <v>0</v>
      </c>
      <c r="K5" s="6">
        <v>0</v>
      </c>
      <c r="L5" s="6">
        <v>-1</v>
      </c>
      <c r="M5" s="6">
        <v>0</v>
      </c>
      <c r="O5" s="7">
        <v>-614.20408163265301</v>
      </c>
      <c r="P5" s="7">
        <v>0</v>
      </c>
      <c r="Q5" s="7">
        <v>2149.7142857142858</v>
      </c>
      <c r="R5" s="7">
        <v>614.20408163265301</v>
      </c>
      <c r="S5" s="7">
        <v>0</v>
      </c>
      <c r="T5" s="7">
        <v>2149.7142857142858</v>
      </c>
    </row>
    <row r="6" spans="1:20" x14ac:dyDescent="0.25">
      <c r="A6" s="5">
        <v>0</v>
      </c>
      <c r="B6" s="5">
        <v>-614.20408163265301</v>
      </c>
      <c r="C6" s="5">
        <v>-2149.7142857142858</v>
      </c>
      <c r="D6" s="5">
        <v>0</v>
      </c>
      <c r="E6" s="5">
        <v>614.20408163265301</v>
      </c>
      <c r="F6" s="5">
        <v>-2149.7142857142858</v>
      </c>
      <c r="H6" s="6">
        <v>0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O6" s="7">
        <v>0</v>
      </c>
      <c r="P6" s="7">
        <v>-161400</v>
      </c>
      <c r="Q6" s="7">
        <v>0</v>
      </c>
      <c r="R6" s="7">
        <v>0</v>
      </c>
      <c r="S6" s="7">
        <v>161400</v>
      </c>
      <c r="T6" s="7">
        <v>0</v>
      </c>
    </row>
    <row r="7" spans="1:20" x14ac:dyDescent="0.25">
      <c r="A7" s="5">
        <v>0</v>
      </c>
      <c r="B7" s="5">
        <v>2149.7142857142858</v>
      </c>
      <c r="C7" s="5">
        <v>5016</v>
      </c>
      <c r="D7" s="5">
        <v>0</v>
      </c>
      <c r="E7" s="5">
        <v>-2149.7142857142858</v>
      </c>
      <c r="F7" s="5">
        <v>10032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</v>
      </c>
      <c r="O7" s="7">
        <v>-2149.7142857142858</v>
      </c>
      <c r="P7" s="7">
        <v>0</v>
      </c>
      <c r="Q7" s="7">
        <v>5016</v>
      </c>
      <c r="R7" s="7">
        <v>2149.7142857142858</v>
      </c>
      <c r="S7" s="7">
        <v>0</v>
      </c>
      <c r="T7" s="7">
        <v>10032</v>
      </c>
    </row>
    <row r="9" spans="1:20" x14ac:dyDescent="0.25">
      <c r="A9" t="s">
        <v>7</v>
      </c>
      <c r="H9" t="s">
        <v>8</v>
      </c>
      <c r="O9" t="s">
        <v>9</v>
      </c>
    </row>
    <row r="10" spans="1:20" x14ac:dyDescent="0.25">
      <c r="A10" s="5">
        <v>89937.90797643688</v>
      </c>
      <c r="B10" s="5">
        <v>0</v>
      </c>
      <c r="C10" s="5">
        <v>0</v>
      </c>
      <c r="D10" s="5">
        <v>-89937.90797643688</v>
      </c>
      <c r="E10" s="5">
        <v>0</v>
      </c>
      <c r="F10" s="5">
        <v>0</v>
      </c>
      <c r="H10" s="6">
        <v>0.99503822019999999</v>
      </c>
      <c r="I10" s="6">
        <v>-9.9493418200000003E-2</v>
      </c>
      <c r="J10" s="6">
        <v>0</v>
      </c>
      <c r="K10" s="6">
        <v>0</v>
      </c>
      <c r="L10" s="6">
        <v>0</v>
      </c>
      <c r="M10" s="6">
        <v>0</v>
      </c>
      <c r="O10" s="7">
        <v>89048.669999235906</v>
      </c>
      <c r="P10" s="7">
        <v>8893.3095612381749</v>
      </c>
      <c r="Q10" s="7">
        <v>-66.413076094110863</v>
      </c>
      <c r="R10" s="7">
        <v>-89048.669999235906</v>
      </c>
      <c r="S10" s="7">
        <v>-8893.3095612381749</v>
      </c>
      <c r="T10" s="7">
        <v>-66.413076094110863</v>
      </c>
    </row>
    <row r="11" spans="1:20" x14ac:dyDescent="0.25">
      <c r="A11" s="5">
        <v>0</v>
      </c>
      <c r="B11" s="5">
        <v>106.27483785154239</v>
      </c>
      <c r="C11" s="5">
        <v>667.51225654553764</v>
      </c>
      <c r="D11" s="5">
        <v>0</v>
      </c>
      <c r="E11" s="5">
        <v>-106.27483785154239</v>
      </c>
      <c r="F11" s="5">
        <v>667.51225654553764</v>
      </c>
      <c r="H11" s="6">
        <v>9.9493418200000003E-2</v>
      </c>
      <c r="I11" s="6">
        <v>0.99503822019999999</v>
      </c>
      <c r="J11" s="6">
        <v>0</v>
      </c>
      <c r="K11" s="6">
        <v>0</v>
      </c>
      <c r="L11" s="6">
        <v>0</v>
      </c>
      <c r="M11" s="6">
        <v>0</v>
      </c>
      <c r="O11" s="7">
        <v>8893.3095612381749</v>
      </c>
      <c r="P11" s="7">
        <v>995.51280820049396</v>
      </c>
      <c r="Q11" s="7">
        <v>664.20020771475754</v>
      </c>
      <c r="R11" s="7">
        <v>-8893.3095612381749</v>
      </c>
      <c r="S11" s="7">
        <v>-995.51280820049396</v>
      </c>
      <c r="T11" s="7">
        <v>664.20020771475754</v>
      </c>
    </row>
    <row r="12" spans="1:20" x14ac:dyDescent="0.25">
      <c r="A12" s="5">
        <v>0</v>
      </c>
      <c r="B12" s="5">
        <v>667.51225654553764</v>
      </c>
      <c r="C12" s="5">
        <v>5590.1926444833625</v>
      </c>
      <c r="D12" s="5">
        <v>0</v>
      </c>
      <c r="E12" s="5">
        <v>-667.51225654553764</v>
      </c>
      <c r="F12" s="5">
        <v>2795.0963222416813</v>
      </c>
      <c r="H12" s="6">
        <v>0</v>
      </c>
      <c r="I12" s="6">
        <v>0</v>
      </c>
      <c r="J12" s="6">
        <v>1</v>
      </c>
      <c r="K12" s="6">
        <v>0</v>
      </c>
      <c r="L12" s="6">
        <v>0</v>
      </c>
      <c r="M12" s="6">
        <v>0</v>
      </c>
      <c r="O12" s="7">
        <v>-66.413076094110863</v>
      </c>
      <c r="P12" s="7">
        <v>664.20020771475754</v>
      </c>
      <c r="Q12" s="7">
        <v>5590.1926444833625</v>
      </c>
      <c r="R12" s="7">
        <v>66.413076094110863</v>
      </c>
      <c r="S12" s="7">
        <v>-664.20020771475754</v>
      </c>
      <c r="T12" s="7">
        <v>2795.0963222416813</v>
      </c>
    </row>
    <row r="13" spans="1:20" x14ac:dyDescent="0.25">
      <c r="A13" s="5">
        <v>-89937.90797643688</v>
      </c>
      <c r="B13" s="5">
        <v>0</v>
      </c>
      <c r="C13" s="5">
        <v>0</v>
      </c>
      <c r="D13" s="5">
        <v>89937.90797643688</v>
      </c>
      <c r="E13" s="5">
        <v>0</v>
      </c>
      <c r="F13" s="5">
        <v>0</v>
      </c>
      <c r="H13" s="6">
        <v>0</v>
      </c>
      <c r="I13" s="6">
        <v>0</v>
      </c>
      <c r="J13" s="6">
        <v>0</v>
      </c>
      <c r="K13" s="6">
        <v>0.99503822019999999</v>
      </c>
      <c r="L13" s="6">
        <v>-9.9493418200000003E-2</v>
      </c>
      <c r="M13" s="6">
        <v>0</v>
      </c>
      <c r="O13" s="7">
        <v>-89048.669999235906</v>
      </c>
      <c r="P13" s="7">
        <v>-8893.3095612381749</v>
      </c>
      <c r="Q13" s="7">
        <v>66.413076094110863</v>
      </c>
      <c r="R13" s="7">
        <v>89048.669999235906</v>
      </c>
      <c r="S13" s="7">
        <v>8893.3095612381749</v>
      </c>
      <c r="T13" s="7">
        <v>66.413076094110863</v>
      </c>
    </row>
    <row r="14" spans="1:20" x14ac:dyDescent="0.25">
      <c r="A14" s="5">
        <v>0</v>
      </c>
      <c r="B14" s="5">
        <v>-106.27483785154239</v>
      </c>
      <c r="C14" s="5">
        <v>-667.51225654553764</v>
      </c>
      <c r="D14" s="5">
        <v>0</v>
      </c>
      <c r="E14" s="5">
        <v>106.27483785154239</v>
      </c>
      <c r="F14" s="5">
        <v>-667.51225654553764</v>
      </c>
      <c r="H14" s="6">
        <v>0</v>
      </c>
      <c r="I14" s="6">
        <v>0</v>
      </c>
      <c r="J14" s="6">
        <v>0</v>
      </c>
      <c r="K14" s="6">
        <v>9.9493418200000003E-2</v>
      </c>
      <c r="L14" s="6">
        <v>0.99503822019999999</v>
      </c>
      <c r="M14" s="6">
        <v>0</v>
      </c>
      <c r="O14" s="7">
        <v>-8893.3095612381749</v>
      </c>
      <c r="P14" s="7">
        <v>-995.51280820049396</v>
      </c>
      <c r="Q14" s="7">
        <v>-664.20020771475754</v>
      </c>
      <c r="R14" s="7">
        <v>8893.3095612381749</v>
      </c>
      <c r="S14" s="7">
        <v>995.51280820049396</v>
      </c>
      <c r="T14" s="7">
        <v>-664.20020771475754</v>
      </c>
    </row>
    <row r="15" spans="1:20" x14ac:dyDescent="0.25">
      <c r="A15" s="5">
        <v>0</v>
      </c>
      <c r="B15" s="5">
        <v>667.51225654553764</v>
      </c>
      <c r="C15" s="5">
        <v>2795.0963222416813</v>
      </c>
      <c r="D15" s="5">
        <v>0</v>
      </c>
      <c r="E15" s="5">
        <v>-667.51225654553764</v>
      </c>
      <c r="F15" s="5">
        <v>5590.1926444833625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  <c r="O15" s="7">
        <v>-66.413076094110863</v>
      </c>
      <c r="P15" s="7">
        <v>664.20020771475754</v>
      </c>
      <c r="Q15" s="7">
        <v>2795.0963222416813</v>
      </c>
      <c r="R15" s="7">
        <v>66.413076094110863</v>
      </c>
      <c r="S15" s="7">
        <v>-664.20020771475754</v>
      </c>
      <c r="T15" s="7">
        <v>5590.1926444833625</v>
      </c>
    </row>
    <row r="23" spans="8:17" x14ac:dyDescent="0.25">
      <c r="H23">
        <f t="array" ref="H23:H28">MMULT(MMULT(A2:F7,TRANSPOSE(H2:M7)),ensamblado_matrices_completo!N1:N6)</f>
        <v>28.892601359999997</v>
      </c>
      <c r="M23">
        <v>-5.6</v>
      </c>
      <c r="O23">
        <f t="array" ref="O23:O28">(MMULT((TRANSPOSE(H2:M7)),M23:M28))</f>
        <v>0</v>
      </c>
      <c r="Q23" s="15">
        <f>H23+O23</f>
        <v>28.892601359999997</v>
      </c>
    </row>
    <row r="24" spans="8:17" x14ac:dyDescent="0.25">
      <c r="H24">
        <v>-21.852645715102042</v>
      </c>
      <c r="M24">
        <v>0</v>
      </c>
      <c r="O24">
        <v>5.6</v>
      </c>
      <c r="Q24" s="15">
        <f t="shared" ref="Q24:Q28" si="0">H24+O24</f>
        <v>-16.252645715102041</v>
      </c>
    </row>
    <row r="25" spans="8:17" x14ac:dyDescent="0.25">
      <c r="H25">
        <v>-61.39683574765715</v>
      </c>
      <c r="M25">
        <v>6.5332999999999997</v>
      </c>
      <c r="O25">
        <v>6.5332999999999997</v>
      </c>
      <c r="Q25" s="15">
        <f t="shared" si="0"/>
        <v>-54.863535747657153</v>
      </c>
    </row>
    <row r="26" spans="8:17" x14ac:dyDescent="0.25">
      <c r="H26">
        <v>-28.892601359999997</v>
      </c>
      <c r="M26">
        <v>-5.6</v>
      </c>
      <c r="O26">
        <v>0</v>
      </c>
      <c r="Q26" s="15">
        <f t="shared" si="0"/>
        <v>-28.892601359999997</v>
      </c>
    </row>
    <row r="27" spans="8:17" x14ac:dyDescent="0.25">
      <c r="H27">
        <v>21.852645715102042</v>
      </c>
      <c r="M27">
        <v>0</v>
      </c>
      <c r="O27">
        <v>5.6</v>
      </c>
      <c r="Q27" s="15">
        <f t="shared" si="0"/>
        <v>27.452645715102044</v>
      </c>
    </row>
    <row r="28" spans="8:17" x14ac:dyDescent="0.25">
      <c r="H28">
        <v>-91.571684258057147</v>
      </c>
      <c r="M28">
        <v>6.5332999999999997</v>
      </c>
      <c r="O28">
        <v>6.5332999999999997</v>
      </c>
      <c r="Q28" s="15">
        <f t="shared" si="0"/>
        <v>-85.03838425805715</v>
      </c>
    </row>
    <row r="29" spans="8:17" x14ac:dyDescent="0.25">
      <c r="Q29" s="15"/>
    </row>
    <row r="30" spans="8:17" x14ac:dyDescent="0.25">
      <c r="Q30" s="15"/>
    </row>
    <row r="31" spans="8:17" x14ac:dyDescent="0.25">
      <c r="H31">
        <f t="array" ref="H31:H36">MMULT(MMULT(A10:F15,TRANSPOSE(H10:M15)),ensamblado_matrices_completo!N4:N9)</f>
        <v>27.012423168644091</v>
      </c>
      <c r="M31">
        <v>-5.6</v>
      </c>
      <c r="O31">
        <f t="array" ref="O31:O36">(MMULT((TRANSPOSE(H10:M15)),M31:M36))</f>
        <v>-5.5722140331199999</v>
      </c>
      <c r="Q31" s="15">
        <f t="shared" ref="Q31:Q36" si="1">H31+O31</f>
        <v>21.440209135524093</v>
      </c>
    </row>
    <row r="32" spans="8:17" x14ac:dyDescent="0.25">
      <c r="H32">
        <v>11.817376575100116</v>
      </c>
      <c r="M32">
        <v>0</v>
      </c>
      <c r="O32">
        <v>0.55716314191999994</v>
      </c>
      <c r="Q32" s="15">
        <f t="shared" si="1"/>
        <v>12.374539717020117</v>
      </c>
    </row>
    <row r="33" spans="8:17" x14ac:dyDescent="0.25">
      <c r="H33">
        <v>65.817684682914859</v>
      </c>
      <c r="M33">
        <v>6.5332999999999997</v>
      </c>
      <c r="O33">
        <v>6.5332999999999997</v>
      </c>
      <c r="Q33" s="15">
        <f t="shared" si="1"/>
        <v>72.350984682914856</v>
      </c>
    </row>
    <row r="34" spans="8:17" x14ac:dyDescent="0.25">
      <c r="H34">
        <v>-27.012423168644091</v>
      </c>
      <c r="M34">
        <v>0</v>
      </c>
      <c r="O34">
        <v>1.3129151465672</v>
      </c>
      <c r="Q34" s="15">
        <f t="shared" si="1"/>
        <v>-25.699508022076891</v>
      </c>
    </row>
    <row r="35" spans="8:17" x14ac:dyDescent="0.25">
      <c r="H35">
        <v>-11.817376575100116</v>
      </c>
      <c r="M35">
        <v>13.196</v>
      </c>
      <c r="O35">
        <v>13.130524353759199</v>
      </c>
      <c r="Q35" s="15">
        <f t="shared" si="1"/>
        <v>1.3131477786590828</v>
      </c>
    </row>
    <row r="36" spans="8:17" x14ac:dyDescent="0.25">
      <c r="H36">
        <v>82.632199853492793</v>
      </c>
      <c r="M36">
        <v>-27.64</v>
      </c>
      <c r="O36">
        <v>-27.64</v>
      </c>
      <c r="Q36" s="15">
        <f t="shared" si="1"/>
        <v>54.992199853492792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N9"/>
  <sheetViews>
    <sheetView zoomScale="145" zoomScaleNormal="145" workbookViewId="0">
      <selection activeCell="P4" sqref="P4"/>
    </sheetView>
  </sheetViews>
  <sheetFormatPr baseColWidth="10" defaultRowHeight="15" x14ac:dyDescent="0.25"/>
  <sheetData>
    <row r="1" spans="1:14" x14ac:dyDescent="0.25">
      <c r="A1" s="6">
        <v>614.20408163265301</v>
      </c>
      <c r="B1" s="6">
        <v>0</v>
      </c>
      <c r="C1" s="6">
        <v>-2149.7142857142858</v>
      </c>
      <c r="D1" s="6">
        <v>-614.20408163265301</v>
      </c>
      <c r="E1" s="6">
        <v>0</v>
      </c>
      <c r="F1" s="6">
        <v>-2149.7142857142858</v>
      </c>
      <c r="G1" s="6">
        <v>0</v>
      </c>
      <c r="H1" s="6">
        <v>0</v>
      </c>
      <c r="I1" s="6">
        <v>0</v>
      </c>
      <c r="K1" s="8" t="s">
        <v>15</v>
      </c>
      <c r="L1" s="10">
        <v>18.002645715102041</v>
      </c>
      <c r="M1" s="7">
        <v>0</v>
      </c>
      <c r="N1" s="10">
        <v>0</v>
      </c>
    </row>
    <row r="2" spans="1:14" x14ac:dyDescent="0.25">
      <c r="A2" s="6">
        <v>0</v>
      </c>
      <c r="B2" s="6">
        <v>161400</v>
      </c>
      <c r="C2" s="6">
        <v>0</v>
      </c>
      <c r="D2" s="6">
        <v>0</v>
      </c>
      <c r="E2" s="6">
        <v>-161400</v>
      </c>
      <c r="F2" s="6">
        <v>0</v>
      </c>
      <c r="G2" s="6">
        <v>0</v>
      </c>
      <c r="H2" s="6">
        <v>0</v>
      </c>
      <c r="I2" s="6">
        <v>0</v>
      </c>
      <c r="K2" s="8" t="s">
        <v>16</v>
      </c>
      <c r="L2" s="10">
        <v>28.892601359999997</v>
      </c>
      <c r="M2" s="7">
        <v>0</v>
      </c>
      <c r="N2" s="10">
        <v>0</v>
      </c>
    </row>
    <row r="3" spans="1:14" x14ac:dyDescent="0.25">
      <c r="A3" s="6">
        <v>-2149.7142857142858</v>
      </c>
      <c r="B3" s="6">
        <v>0</v>
      </c>
      <c r="C3" s="6">
        <v>10032</v>
      </c>
      <c r="D3" s="6">
        <v>2149.7142857142858</v>
      </c>
      <c r="E3" s="6">
        <v>0</v>
      </c>
      <c r="F3" s="6">
        <v>5016</v>
      </c>
      <c r="G3" s="6">
        <v>0</v>
      </c>
      <c r="H3" s="6">
        <v>0</v>
      </c>
      <c r="I3" s="6">
        <v>0</v>
      </c>
      <c r="K3" s="8" t="s">
        <v>30</v>
      </c>
      <c r="L3" s="10">
        <v>-56.905235747657152</v>
      </c>
      <c r="M3" s="7">
        <v>0</v>
      </c>
      <c r="N3" s="10">
        <v>0</v>
      </c>
    </row>
    <row r="4" spans="1:14" x14ac:dyDescent="0.25">
      <c r="A4" s="6">
        <v>-614.20408163265301</v>
      </c>
      <c r="B4" s="6">
        <v>0</v>
      </c>
      <c r="C4" s="6">
        <v>2149.7142857142858</v>
      </c>
      <c r="D4" s="6">
        <v>89662.874080868554</v>
      </c>
      <c r="E4" s="6">
        <v>8893.3095612381749</v>
      </c>
      <c r="F4" s="6">
        <v>2083.3012096201751</v>
      </c>
      <c r="G4" s="6">
        <v>-89048.669999235906</v>
      </c>
      <c r="H4" s="6">
        <v>-8893.3095612381749</v>
      </c>
      <c r="I4" s="6">
        <v>-66.413076094110863</v>
      </c>
      <c r="K4" s="8">
        <v>3.85</v>
      </c>
      <c r="M4" s="7" t="s">
        <v>17</v>
      </c>
      <c r="N4" s="10">
        <v>-1.4523784600000001E-2</v>
      </c>
    </row>
    <row r="5" spans="1:14" x14ac:dyDescent="0.25">
      <c r="A5" s="6">
        <v>0</v>
      </c>
      <c r="B5" s="6">
        <v>-161400</v>
      </c>
      <c r="C5" s="6">
        <v>0</v>
      </c>
      <c r="D5" s="6">
        <v>8893.3095612381749</v>
      </c>
      <c r="E5" s="6">
        <v>162395.5128082005</v>
      </c>
      <c r="F5" s="6">
        <v>664.20020771475754</v>
      </c>
      <c r="G5" s="6">
        <v>-8893.3095612381749</v>
      </c>
      <c r="H5" s="6">
        <v>-995.51280820049396</v>
      </c>
      <c r="I5" s="6">
        <v>664.20020771475754</v>
      </c>
      <c r="K5" s="8">
        <v>-14.446300000000001</v>
      </c>
      <c r="M5" s="7" t="s">
        <v>42</v>
      </c>
      <c r="N5" s="10">
        <v>-1.7901239999999999E-4</v>
      </c>
    </row>
    <row r="6" spans="1:14" x14ac:dyDescent="0.25">
      <c r="A6" s="6">
        <v>-2149.7142857142858</v>
      </c>
      <c r="B6" s="6">
        <v>0</v>
      </c>
      <c r="C6" s="6">
        <v>5016</v>
      </c>
      <c r="D6" s="6">
        <v>2083.3012096201751</v>
      </c>
      <c r="E6" s="6">
        <v>664.20020771475754</v>
      </c>
      <c r="F6" s="6">
        <v>15622.192644483363</v>
      </c>
      <c r="G6" s="6">
        <v>66.413076094110863</v>
      </c>
      <c r="H6" s="6">
        <v>-664.20020771475754</v>
      </c>
      <c r="I6" s="6">
        <v>2795.0963222416813</v>
      </c>
      <c r="K6" s="8">
        <v>-25.754000000000001</v>
      </c>
      <c r="M6" s="7" t="s">
        <v>18</v>
      </c>
      <c r="N6" s="10">
        <v>-6.0157194000000002E-3</v>
      </c>
    </row>
    <row r="7" spans="1:14" x14ac:dyDescent="0.25">
      <c r="A7" s="6">
        <v>0</v>
      </c>
      <c r="B7" s="6">
        <v>0</v>
      </c>
      <c r="C7" s="6">
        <v>0</v>
      </c>
      <c r="D7" s="6">
        <v>-89048.669999235906</v>
      </c>
      <c r="E7" s="6">
        <v>-8893.3095612381749</v>
      </c>
      <c r="F7" s="6">
        <v>66.413076094110863</v>
      </c>
      <c r="G7" s="6">
        <v>89048.669999235906</v>
      </c>
      <c r="H7" s="6">
        <v>8893.3095612381749</v>
      </c>
      <c r="I7" s="6">
        <v>66.413076094110863</v>
      </c>
      <c r="K7" s="8" t="s">
        <v>44</v>
      </c>
      <c r="L7" s="10">
        <v>-25.70264228340352</v>
      </c>
      <c r="M7" s="7">
        <v>0</v>
      </c>
      <c r="N7" s="10">
        <v>0</v>
      </c>
    </row>
    <row r="8" spans="1:14" x14ac:dyDescent="0.25">
      <c r="A8" s="6">
        <v>0</v>
      </c>
      <c r="B8" s="6">
        <v>0</v>
      </c>
      <c r="C8" s="6">
        <v>0</v>
      </c>
      <c r="D8" s="6">
        <v>-8893.3095612381749</v>
      </c>
      <c r="E8" s="6">
        <v>-995.51280820049396</v>
      </c>
      <c r="F8" s="6">
        <v>-664.20020771475754</v>
      </c>
      <c r="G8" s="6">
        <v>8893.3095612381749</v>
      </c>
      <c r="H8" s="6">
        <v>995.51280820049396</v>
      </c>
      <c r="I8" s="6">
        <v>-664.20020771475754</v>
      </c>
      <c r="K8" s="8">
        <v>-14.446300000000001</v>
      </c>
      <c r="M8" s="7" t="s">
        <v>43</v>
      </c>
      <c r="N8" s="10">
        <v>-0.14845079050000001</v>
      </c>
    </row>
    <row r="9" spans="1:14" x14ac:dyDescent="0.25">
      <c r="A9" s="6">
        <v>0</v>
      </c>
      <c r="B9" s="6">
        <v>0</v>
      </c>
      <c r="C9" s="6">
        <v>0</v>
      </c>
      <c r="D9" s="6">
        <v>-66.413076094110863</v>
      </c>
      <c r="E9" s="6">
        <v>664.20020771475754</v>
      </c>
      <c r="F9" s="6">
        <v>2795.0963222416813</v>
      </c>
      <c r="G9" s="6">
        <v>66.413076094110863</v>
      </c>
      <c r="H9" s="6">
        <v>-664.20020771475754</v>
      </c>
      <c r="I9" s="6">
        <v>5590.1926444833625</v>
      </c>
      <c r="K9" s="8" t="s">
        <v>45</v>
      </c>
      <c r="L9" s="10">
        <v>52.392199853492798</v>
      </c>
      <c r="M9" s="7">
        <v>0</v>
      </c>
      <c r="N9" s="1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9"/>
  <sheetViews>
    <sheetView zoomScaleNormal="100" workbookViewId="0">
      <selection activeCell="H19" sqref="H19"/>
    </sheetView>
  </sheetViews>
  <sheetFormatPr baseColWidth="10" defaultRowHeight="15" x14ac:dyDescent="0.25"/>
  <sheetData>
    <row r="1" spans="1:9" x14ac:dyDescent="0.25">
      <c r="A1" s="6">
        <v>89662.874080868554</v>
      </c>
      <c r="B1" s="6">
        <v>8893.3095612381749</v>
      </c>
      <c r="C1" s="6">
        <v>2083.3012096201751</v>
      </c>
      <c r="D1" s="6">
        <v>-8893.3095612381749</v>
      </c>
      <c r="F1" s="8">
        <v>3.85</v>
      </c>
      <c r="H1" s="7" t="s">
        <v>17</v>
      </c>
      <c r="I1" s="10">
        <v>-1.4523784600000001E-2</v>
      </c>
    </row>
    <row r="2" spans="1:9" x14ac:dyDescent="0.25">
      <c r="A2" s="6">
        <v>8893.3095612381749</v>
      </c>
      <c r="B2" s="6">
        <v>162395.5128082005</v>
      </c>
      <c r="C2" s="6">
        <v>664.20020771475754</v>
      </c>
      <c r="D2" s="6">
        <v>-995.51280820049396</v>
      </c>
      <c r="F2" s="8">
        <v>-14.446300000000001</v>
      </c>
      <c r="H2" s="7" t="s">
        <v>42</v>
      </c>
      <c r="I2" s="10">
        <v>-1.7901239999999999E-4</v>
      </c>
    </row>
    <row r="3" spans="1:9" x14ac:dyDescent="0.25">
      <c r="A3" s="6">
        <v>2083.3012096201751</v>
      </c>
      <c r="B3" s="6">
        <v>664.20020771475754</v>
      </c>
      <c r="C3" s="6">
        <v>15622.192644483363</v>
      </c>
      <c r="D3" s="6">
        <v>-664.20020771475754</v>
      </c>
      <c r="F3" s="8">
        <v>-25.754000000000001</v>
      </c>
      <c r="H3" s="7" t="s">
        <v>18</v>
      </c>
      <c r="I3" s="10">
        <v>-6.0157194000000002E-3</v>
      </c>
    </row>
    <row r="4" spans="1:9" x14ac:dyDescent="0.25">
      <c r="A4" s="6">
        <v>-8893.3095612381749</v>
      </c>
      <c r="B4" s="6">
        <v>-995.51280820049396</v>
      </c>
      <c r="C4" s="6">
        <v>-664.20020771475754</v>
      </c>
      <c r="D4" s="6">
        <v>995.51280820049396</v>
      </c>
      <c r="F4" s="8">
        <v>-14.446300000000001</v>
      </c>
      <c r="H4" s="7" t="s">
        <v>43</v>
      </c>
      <c r="I4" s="10">
        <v>-0.14845079050000001</v>
      </c>
    </row>
    <row r="5" spans="1:9" x14ac:dyDescent="0.25">
      <c r="I5" t="s">
        <v>19</v>
      </c>
    </row>
    <row r="6" spans="1:9" x14ac:dyDescent="0.25">
      <c r="A6" s="9">
        <v>1.0823940615353311E-4</v>
      </c>
      <c r="B6" s="9">
        <v>-7.738870714370494E-23</v>
      </c>
      <c r="C6" s="9">
        <v>2.7455622930412135E-5</v>
      </c>
      <c r="D6" s="9">
        <v>9.8526364304067984E-4</v>
      </c>
    </row>
    <row r="7" spans="1:9" x14ac:dyDescent="0.25">
      <c r="A7" s="9">
        <v>-1.7184686928518016E-22</v>
      </c>
      <c r="B7" s="9">
        <v>6.1957868649318462E-6</v>
      </c>
      <c r="C7" s="9">
        <v>0</v>
      </c>
      <c r="D7" s="9">
        <v>6.1957868649318453E-6</v>
      </c>
    </row>
    <row r="8" spans="1:9" x14ac:dyDescent="0.25">
      <c r="A8" s="9">
        <v>2.7455622930412132E-5</v>
      </c>
      <c r="B8" s="9">
        <v>-2.7849164445752911E-23</v>
      </c>
      <c r="C8" s="9">
        <v>7.2844605205317037E-5</v>
      </c>
      <c r="D8" s="9">
        <v>2.9387342223540289E-4</v>
      </c>
    </row>
    <row r="9" spans="1:9" x14ac:dyDescent="0.25">
      <c r="A9" s="9">
        <v>9.8526364304067963E-4</v>
      </c>
      <c r="B9" s="9">
        <v>6.1957868649318453E-6</v>
      </c>
      <c r="C9" s="9">
        <v>2.9387342223540289E-4</v>
      </c>
      <c r="D9" s="9">
        <v>1.0008523514906808E-2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15"/>
  <sheetViews>
    <sheetView workbookViewId="0">
      <selection activeCell="H2" sqref="H2:H7"/>
    </sheetView>
  </sheetViews>
  <sheetFormatPr baseColWidth="10" defaultRowHeight="15" x14ac:dyDescent="0.25"/>
  <sheetData>
    <row r="1" spans="1:6" x14ac:dyDescent="0.25">
      <c r="B1" t="s">
        <v>31</v>
      </c>
    </row>
    <row r="2" spans="1:6" x14ac:dyDescent="0.25">
      <c r="A2" t="s">
        <v>32</v>
      </c>
      <c r="B2" s="10">
        <v>28.892601359999997</v>
      </c>
      <c r="D2">
        <v>0</v>
      </c>
      <c r="F2">
        <v>28.892601359999997</v>
      </c>
    </row>
    <row r="3" spans="1:6" x14ac:dyDescent="0.25">
      <c r="A3" t="s">
        <v>33</v>
      </c>
      <c r="B3" s="10">
        <v>-18.002645715102041</v>
      </c>
      <c r="D3">
        <v>3.85</v>
      </c>
      <c r="F3">
        <v>-21.852645715102042</v>
      </c>
    </row>
    <row r="4" spans="1:6" x14ac:dyDescent="0.25">
      <c r="A4" t="s">
        <v>34</v>
      </c>
      <c r="B4" s="10">
        <v>-56.905235747657152</v>
      </c>
      <c r="D4">
        <v>4.4916</v>
      </c>
      <c r="F4">
        <v>-61.39683574765715</v>
      </c>
    </row>
    <row r="5" spans="1:6" x14ac:dyDescent="0.25">
      <c r="A5" t="s">
        <v>35</v>
      </c>
      <c r="B5" s="10">
        <v>-14.446301359999996</v>
      </c>
      <c r="D5">
        <v>14.446300000000001</v>
      </c>
      <c r="F5">
        <v>-28.892601359999997</v>
      </c>
    </row>
    <row r="6" spans="1:6" x14ac:dyDescent="0.25">
      <c r="A6" t="s">
        <v>36</v>
      </c>
      <c r="B6" s="10">
        <v>25.702645715102044</v>
      </c>
      <c r="D6">
        <v>3.85</v>
      </c>
      <c r="F6">
        <v>21.852645715102042</v>
      </c>
    </row>
    <row r="7" spans="1:6" x14ac:dyDescent="0.25">
      <c r="A7" t="s">
        <v>37</v>
      </c>
      <c r="B7" s="10">
        <v>-65.817684258057142</v>
      </c>
      <c r="D7">
        <v>25.754000000000001</v>
      </c>
      <c r="F7">
        <v>-91.571684258057147</v>
      </c>
    </row>
    <row r="9" spans="1:6" x14ac:dyDescent="0.25">
      <c r="B9" t="s">
        <v>38</v>
      </c>
    </row>
    <row r="10" spans="1:6" x14ac:dyDescent="0.25">
      <c r="A10" t="s">
        <v>35</v>
      </c>
      <c r="B10" s="10">
        <v>24.618837788216752</v>
      </c>
      <c r="D10">
        <v>-2.3935853804273401</v>
      </c>
      <c r="F10">
        <v>27.012423168644091</v>
      </c>
    </row>
    <row r="11" spans="1:6" x14ac:dyDescent="0.25">
      <c r="A11" t="s">
        <v>36</v>
      </c>
      <c r="B11" s="10">
        <v>26.575046875645377</v>
      </c>
      <c r="D11">
        <v>14.757670300545261</v>
      </c>
      <c r="F11">
        <v>11.817376575100116</v>
      </c>
    </row>
    <row r="12" spans="1:6" x14ac:dyDescent="0.25">
      <c r="A12" t="s">
        <v>37</v>
      </c>
      <c r="B12" s="10">
        <v>91.571684682914864</v>
      </c>
      <c r="D12">
        <v>25.754000000000001</v>
      </c>
      <c r="F12">
        <v>65.817684682914859</v>
      </c>
    </row>
    <row r="13" spans="1:6" x14ac:dyDescent="0.25">
      <c r="A13" t="s">
        <v>39</v>
      </c>
      <c r="B13" s="10">
        <v>-25.575111401301431</v>
      </c>
      <c r="D13">
        <v>1.4373117673426601</v>
      </c>
      <c r="F13">
        <v>-27.012423168644091</v>
      </c>
    </row>
    <row r="14" spans="1:6" x14ac:dyDescent="0.25">
      <c r="A14" t="s">
        <v>40</v>
      </c>
      <c r="B14" s="10">
        <v>2.5572440653751443</v>
      </c>
      <c r="D14">
        <v>14.374620640475261</v>
      </c>
      <c r="F14">
        <v>-11.817376575100116</v>
      </c>
    </row>
    <row r="15" spans="1:6" x14ac:dyDescent="0.25">
      <c r="A15" t="s">
        <v>41</v>
      </c>
      <c r="B15" s="10">
        <v>52.392199853492798</v>
      </c>
      <c r="D15">
        <v>-30.24</v>
      </c>
      <c r="F15">
        <v>82.632199853492793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cargas_barra</vt:lpstr>
      <vt:lpstr>rigidez_global_barra</vt:lpstr>
      <vt:lpstr>ensamblado_matrices_completo</vt:lpstr>
      <vt:lpstr>ke_reducida_solucion</vt:lpstr>
      <vt:lpstr>esfuerzos_barras_diagramas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Wladi Arce</dc:creator>
  <cp:lastModifiedBy>Wladi Arce</cp:lastModifiedBy>
  <dcterms:created xsi:type="dcterms:W3CDTF">2015-12-02T13:57:34Z</dcterms:created>
  <dcterms:modified xsi:type="dcterms:W3CDTF">2016-02-11T15:41:00Z</dcterms:modified>
</cp:coreProperties>
</file>