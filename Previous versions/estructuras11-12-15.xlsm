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B30410F-F142-6C75-8FE4-BCCB68B04300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wladi_xiuikf2\Desktop\estructuras\"/>
    </mc:Choice>
  </mc:AlternateContent>
  <bookViews>
    <workbookView xWindow="0" yWindow="0" windowWidth="28800" windowHeight="12330"/>
  </bookViews>
  <sheets>
    <sheet name="datos" sheetId="1" r:id="rId1"/>
    <sheet name="rigidez_global_barra" sheetId="2" r:id="rId2"/>
    <sheet name="ensamblado_matrices_completo" sheetId="5" r:id="rId3"/>
    <sheet name="ke_reducida_solucion" sheetId="6" r:id="rId4"/>
    <sheet name="esfuerzos_barras_diagramas" sheetId="7" r:id="rId5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5" i="1" l="1"/>
  <c r="H4" i="1"/>
  <c r="H3" i="1"/>
  <c r="H2" i="1"/>
</calcChain>
</file>

<file path=xl/comments1.xml><?xml version="1.0" encoding="utf-8"?>
<comments xmlns="http://schemas.openxmlformats.org/spreadsheetml/2006/main">
  <authors>
    <author>Wladi Arce</author>
  </authors>
  <commentList>
    <comment ref="J14" authorId="0" shapeId="0">
      <text>
        <r>
          <rPr>
            <b/>
            <sz val="9"/>
            <color indexed="81"/>
            <rFont val="Tahoma"/>
            <family val="2"/>
          </rPr>
          <t>Wladi Arce:
*************************************
HACER COINCIDIR UNIDADES ENTRE E y F
*************************************
NUDOS Y BARRAS ORDENADOS NUMERICAMENTE ASCENDENTE
*************************************
EN LAS RESTRICCIONES
1 = MOVIMIENTO RESTINGIDO
0 = MOVIMIENTO PERMITIDO
F Nudos y F Empotramiento:
     - REFERENCIADAS A COORD. GLOBALES</t>
        </r>
      </text>
    </comment>
  </commentList>
</comments>
</file>

<file path=xl/sharedStrings.xml><?xml version="1.0" encoding="utf-8"?>
<sst xmlns="http://schemas.openxmlformats.org/spreadsheetml/2006/main" count="84" uniqueCount="66">
  <si>
    <t>N barra</t>
  </si>
  <si>
    <t>Nudo i</t>
  </si>
  <si>
    <t>Nudo j</t>
  </si>
  <si>
    <t>NUDOS</t>
  </si>
  <si>
    <t>MATRIZ RIGIDEZ LOCAL BARRA 1</t>
  </si>
  <si>
    <t>MATRIZ CAMBIO COORDENADAS BARRA 1</t>
  </si>
  <si>
    <t>MATRIZ RIGIDEZ GLOBAL BARRA 1</t>
  </si>
  <si>
    <t>MATRIZ RIGIDEZ LOCAL BARRA 2</t>
  </si>
  <si>
    <t>MATRIZ CAMBIO COORDENADAS BARRA 2</t>
  </si>
  <si>
    <t>MATRIZ RIGIDEZ GLOBAL BARRA 2</t>
  </si>
  <si>
    <t>A (m2)</t>
  </si>
  <si>
    <t>L (m)</t>
  </si>
  <si>
    <t>E (N/m2)</t>
  </si>
  <si>
    <t>I (m4)</t>
  </si>
  <si>
    <t>alfa (rad)</t>
  </si>
  <si>
    <t>Rx 1</t>
  </si>
  <si>
    <t>Ry 1</t>
  </si>
  <si>
    <t>despX 2</t>
  </si>
  <si>
    <t>giro 2</t>
  </si>
  <si>
    <t>RESULTADOS</t>
  </si>
  <si>
    <t>Fx (ext)</t>
  </si>
  <si>
    <t>Fy (ext)</t>
  </si>
  <si>
    <t>M (ext)</t>
  </si>
  <si>
    <t>MATRIZ RIGIDEZ LOCAL BARRA 3</t>
  </si>
  <si>
    <t>MATRIZ CAMBIO COORDENADAS BARRA 3</t>
  </si>
  <si>
    <t>MATRIZ RIGIDEZ GLOBAL BARRA 3</t>
  </si>
  <si>
    <t>despX 3</t>
  </si>
  <si>
    <t>giro 3</t>
  </si>
  <si>
    <t>Fx(emp)</t>
  </si>
  <si>
    <t>Fy (emp)</t>
  </si>
  <si>
    <t>M (emp)</t>
  </si>
  <si>
    <t>Restringir Δx</t>
  </si>
  <si>
    <t>Restringir Δy</t>
  </si>
  <si>
    <r>
      <t xml:space="preserve">Restringir </t>
    </r>
    <r>
      <rPr>
        <sz val="11"/>
        <color theme="1"/>
        <rFont val="Calibri"/>
        <family val="2"/>
      </rPr>
      <t>θ</t>
    </r>
  </si>
  <si>
    <t>INFORMACION</t>
  </si>
  <si>
    <t>M 1</t>
  </si>
  <si>
    <t>ESFUERZOS LOCALES BARRA 1</t>
  </si>
  <si>
    <t>Fx1</t>
  </si>
  <si>
    <t>Fy1</t>
  </si>
  <si>
    <t>M1</t>
  </si>
  <si>
    <t>Fx2</t>
  </si>
  <si>
    <t>Fy2</t>
  </si>
  <si>
    <t>M2</t>
  </si>
  <si>
    <t>ESFUERZOS LOCALES BARRA 2</t>
  </si>
  <si>
    <t>Fx3</t>
  </si>
  <si>
    <t>Fy3</t>
  </si>
  <si>
    <t>M3</t>
  </si>
  <si>
    <t>ESFUERZOS LOCALES BARRA 3</t>
  </si>
  <si>
    <t>Fx4</t>
  </si>
  <si>
    <t>Fy4</t>
  </si>
  <si>
    <t>M4</t>
  </si>
  <si>
    <t>MATRIZ RIGIDEZ LOCAL BARRA 4</t>
  </si>
  <si>
    <t>MATRIZ CAMBIO COORDENADAS BARRA 4</t>
  </si>
  <si>
    <t>MATRIZ RIGIDEZ GLOBAL BARRA 4</t>
  </si>
  <si>
    <t>despY 2</t>
  </si>
  <si>
    <t>despY 3</t>
  </si>
  <si>
    <t>despX 4</t>
  </si>
  <si>
    <t>despY 4</t>
  </si>
  <si>
    <t>giro 4</t>
  </si>
  <si>
    <t>Rx 5</t>
  </si>
  <si>
    <t>Ry 5</t>
  </si>
  <si>
    <t>M 5</t>
  </si>
  <si>
    <t>ESFUERZOS LOCALES BARRA 4</t>
  </si>
  <si>
    <t>Fx5</t>
  </si>
  <si>
    <t>Fy5</t>
  </si>
  <si>
    <t>M5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</si>
</sst>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</font>
    <font>
      <b/>
      <sz val="9"/>
      <color indexed="81"/>
      <name val="Tahoma"/>
      <family val="2"/>
    </font>
    <font>
      <b/>
      <i/>
      <sz val="12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4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35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7" tint="0.3999755851924192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2" borderId="1" xfId="0" applyFill="1" applyBorder="1"/>
    <xf numFmtId="0" fontId="0" fillId="0" borderId="2" xfId="0" applyBorder="1" applyAlignment="1"/>
    <xf numFmtId="0" fontId="0" fillId="0" borderId="0" xfId="0" applyAlignment="1"/>
    <xf numFmtId="0" fontId="0" fillId="0" borderId="0" xfId="0" applyFill="1" applyBorder="1" applyAlignment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1" xfId="0" applyFill="1" applyBorder="1"/>
    <xf numFmtId="0" fontId="0" fillId="10" borderId="0" xfId="0" applyFill="1"/>
    <xf numFmtId="0" fontId="2" fillId="2" borderId="1" xfId="0" applyFont="1" applyFill="1" applyBorder="1"/>
    <xf numFmtId="0" fontId="4" fillId="11" borderId="3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419100</xdr:colOff>
          <xdr:row>0</xdr:row>
          <xdr:rowOff>85725</xdr:rowOff>
        </xdr:from>
        <xdr:to>
          <xdr:col>10</xdr:col>
          <xdr:colOff>428625</xdr:colOff>
          <xdr:row>3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CALCULAR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419100</xdr:colOff>
          <xdr:row>8</xdr:row>
          <xdr:rowOff>85725</xdr:rowOff>
        </xdr:from>
        <xdr:to>
          <xdr:col>10</xdr:col>
          <xdr:colOff>428625</xdr:colOff>
          <xdr:row>11</xdr:row>
          <xdr:rowOff>123825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Borrar hojas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/>
  <dimension ref="A1:U14"/>
  <sheetViews>
    <sheetView showGridLines="0" tabSelected="1" workbookViewId="0">
      <selection activeCell="N22" sqref="N22"/>
    </sheetView>
  </sheetViews>
  <sheetFormatPr baseColWidth="10" defaultRowHeight="15" x14ac:dyDescent="0.25"/>
  <cols>
    <col min="1" max="3" width="8.7109375" customWidth="1"/>
    <col min="4" max="8" width="12.7109375" customWidth="1"/>
    <col min="9" max="11" width="16.140625" customWidth="1"/>
    <col min="12" max="12" width="8.7109375" customWidth="1"/>
    <col min="13" max="21" width="12.7109375" customWidth="1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10</v>
      </c>
      <c r="E1" s="1" t="s">
        <v>11</v>
      </c>
      <c r="F1" s="1" t="s">
        <v>12</v>
      </c>
      <c r="G1" s="1" t="s">
        <v>13</v>
      </c>
      <c r="H1" s="1" t="s">
        <v>14</v>
      </c>
      <c r="L1" s="1" t="s">
        <v>3</v>
      </c>
      <c r="M1" s="13" t="s">
        <v>31</v>
      </c>
      <c r="N1" s="1" t="s">
        <v>32</v>
      </c>
      <c r="O1" s="1" t="s">
        <v>33</v>
      </c>
      <c r="P1" s="11" t="s">
        <v>20</v>
      </c>
      <c r="Q1" s="11" t="s">
        <v>21</v>
      </c>
      <c r="R1" s="11" t="s">
        <v>22</v>
      </c>
      <c r="S1" s="12" t="s">
        <v>28</v>
      </c>
      <c r="T1" s="12" t="s">
        <v>29</v>
      </c>
      <c r="U1" s="12" t="s">
        <v>30</v>
      </c>
    </row>
    <row r="2" spans="1:21" x14ac:dyDescent="0.25">
      <c r="A2">
        <v>1</v>
      </c>
      <c r="B2">
        <v>1</v>
      </c>
      <c r="C2">
        <v>2</v>
      </c>
      <c r="D2" s="2">
        <v>5.3800000000000002E-3</v>
      </c>
      <c r="E2" s="4">
        <v>7</v>
      </c>
      <c r="F2" s="4">
        <v>210000000</v>
      </c>
      <c r="G2" s="4">
        <v>8.3599999999999999E-5</v>
      </c>
      <c r="H2">
        <f>(PI()/2)</f>
        <v>1.5707963267948966</v>
      </c>
      <c r="L2">
        <v>1</v>
      </c>
      <c r="M2">
        <v>1</v>
      </c>
      <c r="N2">
        <v>1</v>
      </c>
      <c r="O2">
        <v>1</v>
      </c>
      <c r="P2">
        <v>0</v>
      </c>
      <c r="Q2">
        <v>0</v>
      </c>
      <c r="R2">
        <v>0</v>
      </c>
      <c r="S2">
        <v>-6.65</v>
      </c>
      <c r="T2">
        <v>0</v>
      </c>
      <c r="U2">
        <v>7.7583333330000004</v>
      </c>
    </row>
    <row r="3" spans="1:21" x14ac:dyDescent="0.25">
      <c r="A3">
        <v>2</v>
      </c>
      <c r="B3">
        <v>2</v>
      </c>
      <c r="C3">
        <v>3</v>
      </c>
      <c r="D3" s="3">
        <v>5.3800000000000002E-3</v>
      </c>
      <c r="E3" s="3">
        <v>12.561999999999999</v>
      </c>
      <c r="F3" s="4">
        <v>210000000</v>
      </c>
      <c r="G3" s="4">
        <v>8.3599999999999999E-5</v>
      </c>
      <c r="H3">
        <f>5.71*PI()/180</f>
        <v>9.965830028887622E-2</v>
      </c>
      <c r="L3">
        <v>2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-6.65</v>
      </c>
      <c r="T3">
        <v>15.702500000000001</v>
      </c>
      <c r="U3">
        <v>25.1174675</v>
      </c>
    </row>
    <row r="4" spans="1:21" x14ac:dyDescent="0.25">
      <c r="A4">
        <v>3</v>
      </c>
      <c r="B4">
        <v>3</v>
      </c>
      <c r="C4">
        <v>4</v>
      </c>
      <c r="D4" s="3">
        <v>5.3800000000000002E-3</v>
      </c>
      <c r="E4" s="3">
        <v>12.561999999999999</v>
      </c>
      <c r="F4" s="3">
        <v>210000000</v>
      </c>
      <c r="G4" s="3">
        <v>8.3599999999999999E-5</v>
      </c>
      <c r="H4">
        <f>-5.71*PI()/180</f>
        <v>-9.965830028887622E-2</v>
      </c>
      <c r="L4">
        <v>3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31.405000000000001</v>
      </c>
      <c r="U4">
        <v>0</v>
      </c>
    </row>
    <row r="5" spans="1:21" x14ac:dyDescent="0.25">
      <c r="A5">
        <v>4</v>
      </c>
      <c r="B5">
        <v>4</v>
      </c>
      <c r="C5">
        <v>5</v>
      </c>
      <c r="D5" s="3">
        <v>5.3800000000000002E-3</v>
      </c>
      <c r="E5" s="3">
        <v>7</v>
      </c>
      <c r="F5" s="4">
        <v>210000000</v>
      </c>
      <c r="G5" s="4">
        <v>8.3599999999999999E-5</v>
      </c>
      <c r="H5">
        <f>-PI()/2</f>
        <v>-1.5707963267948966</v>
      </c>
      <c r="L5">
        <v>4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6.65</v>
      </c>
      <c r="T5">
        <v>15.702500000000001</v>
      </c>
      <c r="U5">
        <v>-25.1174675</v>
      </c>
    </row>
    <row r="6" spans="1:21" x14ac:dyDescent="0.25">
      <c r="L6">
        <v>5</v>
      </c>
      <c r="M6">
        <v>1</v>
      </c>
      <c r="N6">
        <v>1</v>
      </c>
      <c r="O6">
        <v>1</v>
      </c>
      <c r="P6">
        <v>0</v>
      </c>
      <c r="Q6">
        <v>0</v>
      </c>
      <c r="R6">
        <v>0</v>
      </c>
      <c r="S6">
        <v>6.65</v>
      </c>
      <c r="T6">
        <v>0</v>
      </c>
      <c r="U6">
        <v>-7.7583333330000004</v>
      </c>
    </row>
    <row r="13" spans="1:21" ht="15.75" thickBot="1" x14ac:dyDescent="0.3"/>
    <row r="14" spans="1:21" ht="16.5" thickBot="1" x14ac:dyDescent="0.3">
      <c r="J14" s="14" t="s">
        <v>34</v>
      </c>
    </row>
  </sheetData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alcular_estructura">
                <anchor moveWithCells="1" sizeWithCells="1">
                  <from>
                    <xdr:col>8</xdr:col>
                    <xdr:colOff>419100</xdr:colOff>
                    <xdr:row>0</xdr:row>
                    <xdr:rowOff>85725</xdr:rowOff>
                  </from>
                  <to>
                    <xdr:col>10</xdr:col>
                    <xdr:colOff>428625</xdr:colOff>
                    <xdr:row>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limpiar_hoja">
                <anchor moveWithCells="1" sizeWithCells="1">
                  <from>
                    <xdr:col>8</xdr:col>
                    <xdr:colOff>419100</xdr:colOff>
                    <xdr:row>8</xdr:row>
                    <xdr:rowOff>85725</xdr:rowOff>
                  </from>
                  <to>
                    <xdr:col>10</xdr:col>
                    <xdr:colOff>428625</xdr:colOff>
                    <xdr:row>11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T31"/>
  <sheetViews>
    <sheetView zoomScale="85" zoomScaleNormal="85" workbookViewId="0">
      <selection activeCell="G46" sqref="G46"/>
    </sheetView>
  </sheetViews>
  <sheetFormatPr baseColWidth="10" defaultRowHeight="15" x14ac:dyDescent="0.25"/>
  <cols>
    <col min="8" max="8" width="12" bestFit="1" customWidth="1"/>
    <col min="22" max="30" width="11.5703125" bestFit="1" customWidth="1"/>
    <col min="31" max="31" width="12.28515625" bestFit="1" customWidth="1"/>
    <col min="32" max="36" width="11.5703125" bestFit="1" customWidth="1"/>
  </cols>
  <sheetData>
    <row r="1" spans="1:20" x14ac:dyDescent="0.25">
      <c r="A1" t="s">
        <v>4</v>
      </c>
      <c r="H1" t="s">
        <v>5</v>
      </c>
      <c r="O1" t="s">
        <v>6</v>
      </c>
    </row>
    <row r="2" spans="1:20" x14ac:dyDescent="0.25">
      <c r="A2" s="5">
        <v>161400</v>
      </c>
      <c r="B2" s="5">
        <v>0</v>
      </c>
      <c r="C2" s="5">
        <v>0</v>
      </c>
      <c r="D2" s="5">
        <v>-161400</v>
      </c>
      <c r="E2" s="5">
        <v>0</v>
      </c>
      <c r="F2" s="5">
        <v>0</v>
      </c>
      <c r="H2" s="6">
        <v>0</v>
      </c>
      <c r="I2" s="6">
        <v>-1</v>
      </c>
      <c r="J2" s="6">
        <v>0</v>
      </c>
      <c r="K2" s="6">
        <v>0</v>
      </c>
      <c r="L2" s="6">
        <v>0</v>
      </c>
      <c r="M2" s="6">
        <v>0</v>
      </c>
      <c r="O2" s="7">
        <v>614.20408163265301</v>
      </c>
      <c r="P2" s="7">
        <v>0</v>
      </c>
      <c r="Q2" s="7">
        <v>-2149.7142857142858</v>
      </c>
      <c r="R2" s="7">
        <v>-614.20408163265301</v>
      </c>
      <c r="S2" s="7">
        <v>0</v>
      </c>
      <c r="T2" s="7">
        <v>-2149.7142857142858</v>
      </c>
    </row>
    <row r="3" spans="1:20" x14ac:dyDescent="0.25">
      <c r="A3" s="5">
        <v>0</v>
      </c>
      <c r="B3" s="5">
        <v>614.20408163265301</v>
      </c>
      <c r="C3" s="5">
        <v>2149.7142857142858</v>
      </c>
      <c r="D3" s="5">
        <v>0</v>
      </c>
      <c r="E3" s="5">
        <v>-614.20408163265301</v>
      </c>
      <c r="F3" s="5">
        <v>2149.7142857142858</v>
      </c>
      <c r="H3" s="6">
        <v>1</v>
      </c>
      <c r="I3" s="6">
        <v>0</v>
      </c>
      <c r="J3" s="6">
        <v>0</v>
      </c>
      <c r="K3" s="6">
        <v>0</v>
      </c>
      <c r="L3" s="6">
        <v>0</v>
      </c>
      <c r="M3" s="6">
        <v>0</v>
      </c>
      <c r="O3" s="7">
        <v>0</v>
      </c>
      <c r="P3" s="7">
        <v>161400</v>
      </c>
      <c r="Q3" s="7">
        <v>0</v>
      </c>
      <c r="R3" s="7">
        <v>0</v>
      </c>
      <c r="S3" s="7">
        <v>-161400</v>
      </c>
      <c r="T3" s="7">
        <v>0</v>
      </c>
    </row>
    <row r="4" spans="1:20" x14ac:dyDescent="0.25">
      <c r="A4" s="5">
        <v>0</v>
      </c>
      <c r="B4" s="5">
        <v>2149.7142857142858</v>
      </c>
      <c r="C4" s="5">
        <v>10032</v>
      </c>
      <c r="D4" s="5">
        <v>0</v>
      </c>
      <c r="E4" s="5">
        <v>-2149.7142857142858</v>
      </c>
      <c r="F4" s="5">
        <v>5016</v>
      </c>
      <c r="H4" s="6">
        <v>0</v>
      </c>
      <c r="I4" s="6">
        <v>0</v>
      </c>
      <c r="J4" s="6">
        <v>1</v>
      </c>
      <c r="K4" s="6">
        <v>0</v>
      </c>
      <c r="L4" s="6">
        <v>0</v>
      </c>
      <c r="M4" s="6">
        <v>0</v>
      </c>
      <c r="O4" s="7">
        <v>-2149.7142857142858</v>
      </c>
      <c r="P4" s="7">
        <v>0</v>
      </c>
      <c r="Q4" s="7">
        <v>10032</v>
      </c>
      <c r="R4" s="7">
        <v>2149.7142857142858</v>
      </c>
      <c r="S4" s="7">
        <v>0</v>
      </c>
      <c r="T4" s="7">
        <v>5016</v>
      </c>
    </row>
    <row r="5" spans="1:20" x14ac:dyDescent="0.25">
      <c r="A5" s="5">
        <v>-161400</v>
      </c>
      <c r="B5" s="5">
        <v>0</v>
      </c>
      <c r="C5" s="5">
        <v>0</v>
      </c>
      <c r="D5" s="5">
        <v>161400</v>
      </c>
      <c r="E5" s="5">
        <v>0</v>
      </c>
      <c r="F5" s="5">
        <v>0</v>
      </c>
      <c r="H5" s="6">
        <v>0</v>
      </c>
      <c r="I5" s="6">
        <v>0</v>
      </c>
      <c r="J5" s="6">
        <v>0</v>
      </c>
      <c r="K5" s="6">
        <v>0</v>
      </c>
      <c r="L5" s="6">
        <v>-1</v>
      </c>
      <c r="M5" s="6">
        <v>0</v>
      </c>
      <c r="O5" s="7">
        <v>-614.20408163265301</v>
      </c>
      <c r="P5" s="7">
        <v>0</v>
      </c>
      <c r="Q5" s="7">
        <v>2149.7142857142858</v>
      </c>
      <c r="R5" s="7">
        <v>614.20408163265301</v>
      </c>
      <c r="S5" s="7">
        <v>0</v>
      </c>
      <c r="T5" s="7">
        <v>2149.7142857142858</v>
      </c>
    </row>
    <row r="6" spans="1:20" x14ac:dyDescent="0.25">
      <c r="A6" s="5">
        <v>0</v>
      </c>
      <c r="B6" s="5">
        <v>-614.20408163265301</v>
      </c>
      <c r="C6" s="5">
        <v>-2149.7142857142858</v>
      </c>
      <c r="D6" s="5">
        <v>0</v>
      </c>
      <c r="E6" s="5">
        <v>614.20408163265301</v>
      </c>
      <c r="F6" s="5">
        <v>-2149.7142857142858</v>
      </c>
      <c r="H6" s="6">
        <v>0</v>
      </c>
      <c r="I6" s="6">
        <v>0</v>
      </c>
      <c r="J6" s="6">
        <v>0</v>
      </c>
      <c r="K6" s="6">
        <v>1</v>
      </c>
      <c r="L6" s="6">
        <v>0</v>
      </c>
      <c r="M6" s="6">
        <v>0</v>
      </c>
      <c r="O6" s="7">
        <v>0</v>
      </c>
      <c r="P6" s="7">
        <v>-161400</v>
      </c>
      <c r="Q6" s="7">
        <v>0</v>
      </c>
      <c r="R6" s="7">
        <v>0</v>
      </c>
      <c r="S6" s="7">
        <v>161400</v>
      </c>
      <c r="T6" s="7">
        <v>0</v>
      </c>
    </row>
    <row r="7" spans="1:20" x14ac:dyDescent="0.25">
      <c r="A7" s="5">
        <v>0</v>
      </c>
      <c r="B7" s="5">
        <v>2149.7142857142858</v>
      </c>
      <c r="C7" s="5">
        <v>5016</v>
      </c>
      <c r="D7" s="5">
        <v>0</v>
      </c>
      <c r="E7" s="5">
        <v>-2149.7142857142858</v>
      </c>
      <c r="F7" s="5">
        <v>10032</v>
      </c>
      <c r="H7" s="6">
        <v>0</v>
      </c>
      <c r="I7" s="6">
        <v>0</v>
      </c>
      <c r="J7" s="6">
        <v>0</v>
      </c>
      <c r="K7" s="6">
        <v>0</v>
      </c>
      <c r="L7" s="6">
        <v>0</v>
      </c>
      <c r="M7" s="6">
        <v>1</v>
      </c>
      <c r="O7" s="7">
        <v>-2149.7142857142858</v>
      </c>
      <c r="P7" s="7">
        <v>0</v>
      </c>
      <c r="Q7" s="7">
        <v>5016</v>
      </c>
      <c r="R7" s="7">
        <v>2149.7142857142858</v>
      </c>
      <c r="S7" s="7">
        <v>0</v>
      </c>
      <c r="T7" s="7">
        <v>10032</v>
      </c>
    </row>
    <row r="9" spans="1:20" x14ac:dyDescent="0.25">
      <c r="A9" t="s">
        <v>7</v>
      </c>
      <c r="H9" t="s">
        <v>8</v>
      </c>
      <c r="O9" t="s">
        <v>9</v>
      </c>
    </row>
    <row r="10" spans="1:20" x14ac:dyDescent="0.25">
      <c r="A10" s="5">
        <v>89937.90797643688</v>
      </c>
      <c r="B10" s="5">
        <v>0</v>
      </c>
      <c r="C10" s="5">
        <v>0</v>
      </c>
      <c r="D10" s="5">
        <v>-89937.90797643688</v>
      </c>
      <c r="E10" s="5">
        <v>0</v>
      </c>
      <c r="F10" s="5">
        <v>0</v>
      </c>
      <c r="H10" s="6">
        <v>0.99503822019999999</v>
      </c>
      <c r="I10" s="6">
        <v>-9.9493418200000003E-2</v>
      </c>
      <c r="J10" s="6">
        <v>0</v>
      </c>
      <c r="K10" s="6">
        <v>0</v>
      </c>
      <c r="L10" s="6">
        <v>0</v>
      </c>
      <c r="M10" s="6">
        <v>0</v>
      </c>
      <c r="O10" s="7">
        <v>89048.669999235906</v>
      </c>
      <c r="P10" s="7">
        <v>8893.3095612381749</v>
      </c>
      <c r="Q10" s="7">
        <v>-66.413076094110863</v>
      </c>
      <c r="R10" s="7">
        <v>-89048.669999235906</v>
      </c>
      <c r="S10" s="7">
        <v>-8893.3095612381749</v>
      </c>
      <c r="T10" s="7">
        <v>-66.413076094110863</v>
      </c>
    </row>
    <row r="11" spans="1:20" x14ac:dyDescent="0.25">
      <c r="A11" s="5">
        <v>0</v>
      </c>
      <c r="B11" s="5">
        <v>106.27483785154239</v>
      </c>
      <c r="C11" s="5">
        <v>667.51225654553764</v>
      </c>
      <c r="D11" s="5">
        <v>0</v>
      </c>
      <c r="E11" s="5">
        <v>-106.27483785154239</v>
      </c>
      <c r="F11" s="5">
        <v>667.51225654553764</v>
      </c>
      <c r="H11" s="6">
        <v>9.9493418200000003E-2</v>
      </c>
      <c r="I11" s="6">
        <v>0.99503822019999999</v>
      </c>
      <c r="J11" s="6">
        <v>0</v>
      </c>
      <c r="K11" s="6">
        <v>0</v>
      </c>
      <c r="L11" s="6">
        <v>0</v>
      </c>
      <c r="M11" s="6">
        <v>0</v>
      </c>
      <c r="O11" s="7">
        <v>8893.3095612381749</v>
      </c>
      <c r="P11" s="7">
        <v>995.51280820049396</v>
      </c>
      <c r="Q11" s="7">
        <v>664.20020771475754</v>
      </c>
      <c r="R11" s="7">
        <v>-8893.3095612381749</v>
      </c>
      <c r="S11" s="7">
        <v>-995.51280820049396</v>
      </c>
      <c r="T11" s="7">
        <v>664.20020771475754</v>
      </c>
    </row>
    <row r="12" spans="1:20" x14ac:dyDescent="0.25">
      <c r="A12" s="5">
        <v>0</v>
      </c>
      <c r="B12" s="5">
        <v>667.51225654553764</v>
      </c>
      <c r="C12" s="5">
        <v>5590.1926444833625</v>
      </c>
      <c r="D12" s="5">
        <v>0</v>
      </c>
      <c r="E12" s="5">
        <v>-667.51225654553764</v>
      </c>
      <c r="F12" s="5">
        <v>2795.0963222416813</v>
      </c>
      <c r="H12" s="6">
        <v>0</v>
      </c>
      <c r="I12" s="6">
        <v>0</v>
      </c>
      <c r="J12" s="6">
        <v>1</v>
      </c>
      <c r="K12" s="6">
        <v>0</v>
      </c>
      <c r="L12" s="6">
        <v>0</v>
      </c>
      <c r="M12" s="6">
        <v>0</v>
      </c>
      <c r="O12" s="7">
        <v>-66.413076094110863</v>
      </c>
      <c r="P12" s="7">
        <v>664.20020771475754</v>
      </c>
      <c r="Q12" s="7">
        <v>5590.1926444833625</v>
      </c>
      <c r="R12" s="7">
        <v>66.413076094110863</v>
      </c>
      <c r="S12" s="7">
        <v>-664.20020771475754</v>
      </c>
      <c r="T12" s="7">
        <v>2795.0963222416813</v>
      </c>
    </row>
    <row r="13" spans="1:20" x14ac:dyDescent="0.25">
      <c r="A13" s="5">
        <v>-89937.90797643688</v>
      </c>
      <c r="B13" s="5">
        <v>0</v>
      </c>
      <c r="C13" s="5">
        <v>0</v>
      </c>
      <c r="D13" s="5">
        <v>89937.90797643688</v>
      </c>
      <c r="E13" s="5">
        <v>0</v>
      </c>
      <c r="F13" s="5">
        <v>0</v>
      </c>
      <c r="H13" s="6">
        <v>0</v>
      </c>
      <c r="I13" s="6">
        <v>0</v>
      </c>
      <c r="J13" s="6">
        <v>0</v>
      </c>
      <c r="K13" s="6">
        <v>0.99503822019999999</v>
      </c>
      <c r="L13" s="6">
        <v>-9.9493418200000003E-2</v>
      </c>
      <c r="M13" s="6">
        <v>0</v>
      </c>
      <c r="O13" s="7">
        <v>-89048.669999235906</v>
      </c>
      <c r="P13" s="7">
        <v>-8893.3095612381749</v>
      </c>
      <c r="Q13" s="7">
        <v>66.413076094110863</v>
      </c>
      <c r="R13" s="7">
        <v>89048.669999235906</v>
      </c>
      <c r="S13" s="7">
        <v>8893.3095612381749</v>
      </c>
      <c r="T13" s="7">
        <v>66.413076094110863</v>
      </c>
    </row>
    <row r="14" spans="1:20" x14ac:dyDescent="0.25">
      <c r="A14" s="5">
        <v>0</v>
      </c>
      <c r="B14" s="5">
        <v>-106.27483785154239</v>
      </c>
      <c r="C14" s="5">
        <v>-667.51225654553764</v>
      </c>
      <c r="D14" s="5">
        <v>0</v>
      </c>
      <c r="E14" s="5">
        <v>106.27483785154239</v>
      </c>
      <c r="F14" s="5">
        <v>-667.51225654553764</v>
      </c>
      <c r="H14" s="6">
        <v>0</v>
      </c>
      <c r="I14" s="6">
        <v>0</v>
      </c>
      <c r="J14" s="6">
        <v>0</v>
      </c>
      <c r="K14" s="6">
        <v>9.9493418200000003E-2</v>
      </c>
      <c r="L14" s="6">
        <v>0.99503822019999999</v>
      </c>
      <c r="M14" s="6">
        <v>0</v>
      </c>
      <c r="O14" s="7">
        <v>-8893.3095612381749</v>
      </c>
      <c r="P14" s="7">
        <v>-995.51280820049396</v>
      </c>
      <c r="Q14" s="7">
        <v>-664.20020771475754</v>
      </c>
      <c r="R14" s="7">
        <v>8893.3095612381749</v>
      </c>
      <c r="S14" s="7">
        <v>995.51280820049396</v>
      </c>
      <c r="T14" s="7">
        <v>-664.20020771475754</v>
      </c>
    </row>
    <row r="15" spans="1:20" x14ac:dyDescent="0.25">
      <c r="A15" s="5">
        <v>0</v>
      </c>
      <c r="B15" s="5">
        <v>667.51225654553764</v>
      </c>
      <c r="C15" s="5">
        <v>2795.0963222416813</v>
      </c>
      <c r="D15" s="5">
        <v>0</v>
      </c>
      <c r="E15" s="5">
        <v>-667.51225654553764</v>
      </c>
      <c r="F15" s="5">
        <v>5590.1926444833625</v>
      </c>
      <c r="H15" s="6">
        <v>0</v>
      </c>
      <c r="I15" s="6">
        <v>0</v>
      </c>
      <c r="J15" s="6">
        <v>0</v>
      </c>
      <c r="K15" s="6">
        <v>0</v>
      </c>
      <c r="L15" s="6">
        <v>0</v>
      </c>
      <c r="M15" s="6">
        <v>1</v>
      </c>
      <c r="O15" s="7">
        <v>-66.413076094110863</v>
      </c>
      <c r="P15" s="7">
        <v>664.20020771475754</v>
      </c>
      <c r="Q15" s="7">
        <v>2795.0963222416813</v>
      </c>
      <c r="R15" s="7">
        <v>66.413076094110863</v>
      </c>
      <c r="S15" s="7">
        <v>-664.20020771475754</v>
      </c>
      <c r="T15" s="7">
        <v>5590.1926444833625</v>
      </c>
    </row>
    <row r="17" spans="1:20" x14ac:dyDescent="0.25">
      <c r="A17" t="s">
        <v>23</v>
      </c>
      <c r="H17" t="s">
        <v>24</v>
      </c>
      <c r="O17" t="s">
        <v>25</v>
      </c>
    </row>
    <row r="18" spans="1:20" x14ac:dyDescent="0.25">
      <c r="A18" s="5">
        <v>89937.90797643688</v>
      </c>
      <c r="B18" s="5">
        <v>0</v>
      </c>
      <c r="C18" s="5">
        <v>0</v>
      </c>
      <c r="D18" s="5">
        <v>-89937.90797643688</v>
      </c>
      <c r="E18" s="5">
        <v>0</v>
      </c>
      <c r="F18" s="5">
        <v>0</v>
      </c>
      <c r="H18" s="6">
        <v>0.99503822019999999</v>
      </c>
      <c r="I18" s="6">
        <v>9.9493418200000003E-2</v>
      </c>
      <c r="J18" s="6">
        <v>0</v>
      </c>
      <c r="K18" s="6">
        <v>0</v>
      </c>
      <c r="L18" s="6">
        <v>0</v>
      </c>
      <c r="M18" s="6">
        <v>0</v>
      </c>
      <c r="O18" s="7">
        <v>89048.669999235906</v>
      </c>
      <c r="P18" s="7">
        <v>-8893.3095612381749</v>
      </c>
      <c r="Q18" s="7">
        <v>66.413076094110863</v>
      </c>
      <c r="R18" s="7">
        <v>-89048.669999235906</v>
      </c>
      <c r="S18" s="7">
        <v>8893.3095612381749</v>
      </c>
      <c r="T18" s="7">
        <v>66.413076094110863</v>
      </c>
    </row>
    <row r="19" spans="1:20" x14ac:dyDescent="0.25">
      <c r="A19" s="5">
        <v>0</v>
      </c>
      <c r="B19" s="5">
        <v>106.27483785154239</v>
      </c>
      <c r="C19" s="5">
        <v>667.51225654553764</v>
      </c>
      <c r="D19" s="5">
        <v>0</v>
      </c>
      <c r="E19" s="5">
        <v>-106.27483785154239</v>
      </c>
      <c r="F19" s="5">
        <v>667.51225654553764</v>
      </c>
      <c r="H19" s="6">
        <v>-9.9493418200000003E-2</v>
      </c>
      <c r="I19" s="6">
        <v>0.99503822019999999</v>
      </c>
      <c r="J19" s="6">
        <v>0</v>
      </c>
      <c r="K19" s="6">
        <v>0</v>
      </c>
      <c r="L19" s="6">
        <v>0</v>
      </c>
      <c r="M19" s="6">
        <v>0</v>
      </c>
      <c r="O19" s="7">
        <v>-8893.3095612381749</v>
      </c>
      <c r="P19" s="7">
        <v>995.51280820049396</v>
      </c>
      <c r="Q19" s="7">
        <v>664.20020771475754</v>
      </c>
      <c r="R19" s="7">
        <v>8893.3095612381749</v>
      </c>
      <c r="S19" s="7">
        <v>-995.51280820049396</v>
      </c>
      <c r="T19" s="7">
        <v>664.20020771475754</v>
      </c>
    </row>
    <row r="20" spans="1:20" x14ac:dyDescent="0.25">
      <c r="A20" s="5">
        <v>0</v>
      </c>
      <c r="B20" s="5">
        <v>667.51225654553764</v>
      </c>
      <c r="C20" s="5">
        <v>5590.1926444833625</v>
      </c>
      <c r="D20" s="5">
        <v>0</v>
      </c>
      <c r="E20" s="5">
        <v>-667.51225654553764</v>
      </c>
      <c r="F20" s="5">
        <v>2795.0963222416813</v>
      </c>
      <c r="H20" s="6">
        <v>0</v>
      </c>
      <c r="I20" s="6">
        <v>0</v>
      </c>
      <c r="J20" s="6">
        <v>1</v>
      </c>
      <c r="K20" s="6">
        <v>0</v>
      </c>
      <c r="L20" s="6">
        <v>0</v>
      </c>
      <c r="M20" s="6">
        <v>0</v>
      </c>
      <c r="O20" s="7">
        <v>66.413076094110863</v>
      </c>
      <c r="P20" s="7">
        <v>664.20020771475754</v>
      </c>
      <c r="Q20" s="7">
        <v>5590.1926444833625</v>
      </c>
      <c r="R20" s="7">
        <v>-66.413076094110863</v>
      </c>
      <c r="S20" s="7">
        <v>-664.20020771475754</v>
      </c>
      <c r="T20" s="7">
        <v>2795.0963222416813</v>
      </c>
    </row>
    <row r="21" spans="1:20" x14ac:dyDescent="0.25">
      <c r="A21" s="5">
        <v>-89937.90797643688</v>
      </c>
      <c r="B21" s="5">
        <v>0</v>
      </c>
      <c r="C21" s="5">
        <v>0</v>
      </c>
      <c r="D21" s="5">
        <v>89937.90797643688</v>
      </c>
      <c r="E21" s="5">
        <v>0</v>
      </c>
      <c r="F21" s="5">
        <v>0</v>
      </c>
      <c r="H21" s="6">
        <v>0</v>
      </c>
      <c r="I21" s="6">
        <v>0</v>
      </c>
      <c r="J21" s="6">
        <v>0</v>
      </c>
      <c r="K21" s="6">
        <v>0.99503822019999999</v>
      </c>
      <c r="L21" s="6">
        <v>9.9493418200000003E-2</v>
      </c>
      <c r="M21" s="6">
        <v>0</v>
      </c>
      <c r="O21" s="7">
        <v>-89048.669999235906</v>
      </c>
      <c r="P21" s="7">
        <v>8893.3095612381749</v>
      </c>
      <c r="Q21" s="7">
        <v>-66.413076094110863</v>
      </c>
      <c r="R21" s="7">
        <v>89048.669999235906</v>
      </c>
      <c r="S21" s="7">
        <v>-8893.3095612381749</v>
      </c>
      <c r="T21" s="7">
        <v>-66.413076094110863</v>
      </c>
    </row>
    <row r="22" spans="1:20" x14ac:dyDescent="0.25">
      <c r="A22" s="5">
        <v>0</v>
      </c>
      <c r="B22" s="5">
        <v>-106.27483785154239</v>
      </c>
      <c r="C22" s="5">
        <v>-667.51225654553764</v>
      </c>
      <c r="D22" s="5">
        <v>0</v>
      </c>
      <c r="E22" s="5">
        <v>106.27483785154239</v>
      </c>
      <c r="F22" s="5">
        <v>-667.51225654553764</v>
      </c>
      <c r="H22" s="6">
        <v>0</v>
      </c>
      <c r="I22" s="6">
        <v>0</v>
      </c>
      <c r="J22" s="6">
        <v>0</v>
      </c>
      <c r="K22" s="6">
        <v>-9.9493418200000003E-2</v>
      </c>
      <c r="L22" s="6">
        <v>0.99503822019999999</v>
      </c>
      <c r="M22" s="6">
        <v>0</v>
      </c>
      <c r="O22" s="7">
        <v>8893.3095612381749</v>
      </c>
      <c r="P22" s="7">
        <v>-995.51280820049396</v>
      </c>
      <c r="Q22" s="7">
        <v>-664.20020771475754</v>
      </c>
      <c r="R22" s="7">
        <v>-8893.3095612381749</v>
      </c>
      <c r="S22" s="7">
        <v>995.51280820049396</v>
      </c>
      <c r="T22" s="7">
        <v>-664.20020771475754</v>
      </c>
    </row>
    <row r="23" spans="1:20" x14ac:dyDescent="0.25">
      <c r="A23" s="5">
        <v>0</v>
      </c>
      <c r="B23" s="5">
        <v>667.51225654553764</v>
      </c>
      <c r="C23" s="5">
        <v>2795.0963222416813</v>
      </c>
      <c r="D23" s="5">
        <v>0</v>
      </c>
      <c r="E23" s="5">
        <v>-667.51225654553764</v>
      </c>
      <c r="F23" s="5">
        <v>5590.1926444833625</v>
      </c>
      <c r="H23" s="6">
        <v>0</v>
      </c>
      <c r="I23" s="6">
        <v>0</v>
      </c>
      <c r="J23" s="6">
        <v>0</v>
      </c>
      <c r="K23" s="6">
        <v>0</v>
      </c>
      <c r="L23" s="6">
        <v>0</v>
      </c>
      <c r="M23" s="6">
        <v>1</v>
      </c>
      <c r="O23" s="7">
        <v>66.413076094110863</v>
      </c>
      <c r="P23" s="7">
        <v>664.20020771475754</v>
      </c>
      <c r="Q23" s="7">
        <v>2795.0963222416813</v>
      </c>
      <c r="R23" s="7">
        <v>-66.413076094110863</v>
      </c>
      <c r="S23" s="7">
        <v>-664.20020771475754</v>
      </c>
      <c r="T23" s="7">
        <v>5590.1926444833625</v>
      </c>
    </row>
    <row r="25" spans="1:20" x14ac:dyDescent="0.25">
      <c r="A25" t="s">
        <v>51</v>
      </c>
      <c r="H25" t="s">
        <v>52</v>
      </c>
      <c r="O25" t="s">
        <v>53</v>
      </c>
    </row>
    <row r="26" spans="1:20" x14ac:dyDescent="0.25">
      <c r="A26" s="5">
        <v>161400</v>
      </c>
      <c r="B26" s="5">
        <v>0</v>
      </c>
      <c r="C26" s="5">
        <v>0</v>
      </c>
      <c r="D26" s="5">
        <v>-161400</v>
      </c>
      <c r="E26" s="5">
        <v>0</v>
      </c>
      <c r="F26" s="5">
        <v>0</v>
      </c>
      <c r="H26" s="6">
        <v>0</v>
      </c>
      <c r="I26" s="6">
        <v>1</v>
      </c>
      <c r="J26" s="6">
        <v>0</v>
      </c>
      <c r="K26" s="6">
        <v>0</v>
      </c>
      <c r="L26" s="6">
        <v>0</v>
      </c>
      <c r="M26" s="6">
        <v>0</v>
      </c>
      <c r="O26" s="7">
        <v>614.20408163265301</v>
      </c>
      <c r="P26" s="7">
        <v>0</v>
      </c>
      <c r="Q26" s="7">
        <v>2149.7142857142858</v>
      </c>
      <c r="R26" s="7">
        <v>-614.20408163265301</v>
      </c>
      <c r="S26" s="7">
        <v>0</v>
      </c>
      <c r="T26" s="7">
        <v>2149.7142857142858</v>
      </c>
    </row>
    <row r="27" spans="1:20" x14ac:dyDescent="0.25">
      <c r="A27" s="5">
        <v>0</v>
      </c>
      <c r="B27" s="5">
        <v>614.20408163265301</v>
      </c>
      <c r="C27" s="5">
        <v>2149.7142857142858</v>
      </c>
      <c r="D27" s="5">
        <v>0</v>
      </c>
      <c r="E27" s="5">
        <v>-614.20408163265301</v>
      </c>
      <c r="F27" s="5">
        <v>2149.7142857142858</v>
      </c>
      <c r="H27" s="6">
        <v>-1</v>
      </c>
      <c r="I27" s="6">
        <v>0</v>
      </c>
      <c r="J27" s="6">
        <v>0</v>
      </c>
      <c r="K27" s="6">
        <v>0</v>
      </c>
      <c r="L27" s="6">
        <v>0</v>
      </c>
      <c r="M27" s="6">
        <v>0</v>
      </c>
      <c r="O27" s="7">
        <v>0</v>
      </c>
      <c r="P27" s="7">
        <v>161400</v>
      </c>
      <c r="Q27" s="7">
        <v>0</v>
      </c>
      <c r="R27" s="7">
        <v>0</v>
      </c>
      <c r="S27" s="7">
        <v>-161400</v>
      </c>
      <c r="T27" s="7">
        <v>0</v>
      </c>
    </row>
    <row r="28" spans="1:20" x14ac:dyDescent="0.25">
      <c r="A28" s="5">
        <v>0</v>
      </c>
      <c r="B28" s="5">
        <v>2149.7142857142858</v>
      </c>
      <c r="C28" s="5">
        <v>10032</v>
      </c>
      <c r="D28" s="5">
        <v>0</v>
      </c>
      <c r="E28" s="5">
        <v>-2149.7142857142858</v>
      </c>
      <c r="F28" s="5">
        <v>5016</v>
      </c>
      <c r="H28" s="6">
        <v>0</v>
      </c>
      <c r="I28" s="6">
        <v>0</v>
      </c>
      <c r="J28" s="6">
        <v>1</v>
      </c>
      <c r="K28" s="6">
        <v>0</v>
      </c>
      <c r="L28" s="6">
        <v>0</v>
      </c>
      <c r="M28" s="6">
        <v>0</v>
      </c>
      <c r="O28" s="7">
        <v>2149.7142857142858</v>
      </c>
      <c r="P28" s="7">
        <v>0</v>
      </c>
      <c r="Q28" s="7">
        <v>10032</v>
      </c>
      <c r="R28" s="7">
        <v>-2149.7142857142858</v>
      </c>
      <c r="S28" s="7">
        <v>0</v>
      </c>
      <c r="T28" s="7">
        <v>5016</v>
      </c>
    </row>
    <row r="29" spans="1:20" x14ac:dyDescent="0.25">
      <c r="A29" s="5">
        <v>-161400</v>
      </c>
      <c r="B29" s="5">
        <v>0</v>
      </c>
      <c r="C29" s="5">
        <v>0</v>
      </c>
      <c r="D29" s="5">
        <v>161400</v>
      </c>
      <c r="E29" s="5">
        <v>0</v>
      </c>
      <c r="F29" s="5">
        <v>0</v>
      </c>
      <c r="H29" s="6">
        <v>0</v>
      </c>
      <c r="I29" s="6">
        <v>0</v>
      </c>
      <c r="J29" s="6">
        <v>0</v>
      </c>
      <c r="K29" s="6">
        <v>0</v>
      </c>
      <c r="L29" s="6">
        <v>1</v>
      </c>
      <c r="M29" s="6">
        <v>0</v>
      </c>
      <c r="O29" s="7">
        <v>-614.20408163265301</v>
      </c>
      <c r="P29" s="7">
        <v>0</v>
      </c>
      <c r="Q29" s="7">
        <v>-2149.7142857142858</v>
      </c>
      <c r="R29" s="7">
        <v>614.20408163265301</v>
      </c>
      <c r="S29" s="7">
        <v>0</v>
      </c>
      <c r="T29" s="7">
        <v>-2149.7142857142858</v>
      </c>
    </row>
    <row r="30" spans="1:20" x14ac:dyDescent="0.25">
      <c r="A30" s="5">
        <v>0</v>
      </c>
      <c r="B30" s="5">
        <v>-614.20408163265301</v>
      </c>
      <c r="C30" s="5">
        <v>-2149.7142857142858</v>
      </c>
      <c r="D30" s="5">
        <v>0</v>
      </c>
      <c r="E30" s="5">
        <v>614.20408163265301</v>
      </c>
      <c r="F30" s="5">
        <v>-2149.7142857142858</v>
      </c>
      <c r="H30" s="6">
        <v>0</v>
      </c>
      <c r="I30" s="6">
        <v>0</v>
      </c>
      <c r="J30" s="6">
        <v>0</v>
      </c>
      <c r="K30" s="6">
        <v>-1</v>
      </c>
      <c r="L30" s="6">
        <v>0</v>
      </c>
      <c r="M30" s="6">
        <v>0</v>
      </c>
      <c r="O30" s="7">
        <v>0</v>
      </c>
      <c r="P30" s="7">
        <v>-161400</v>
      </c>
      <c r="Q30" s="7">
        <v>0</v>
      </c>
      <c r="R30" s="7">
        <v>0</v>
      </c>
      <c r="S30" s="7">
        <v>161400</v>
      </c>
      <c r="T30" s="7">
        <v>0</v>
      </c>
    </row>
    <row r="31" spans="1:20" x14ac:dyDescent="0.25">
      <c r="A31" s="5">
        <v>0</v>
      </c>
      <c r="B31" s="5">
        <v>2149.7142857142858</v>
      </c>
      <c r="C31" s="5">
        <v>5016</v>
      </c>
      <c r="D31" s="5">
        <v>0</v>
      </c>
      <c r="E31" s="5">
        <v>-2149.7142857142858</v>
      </c>
      <c r="F31" s="5">
        <v>10032</v>
      </c>
      <c r="H31" s="6">
        <v>0</v>
      </c>
      <c r="I31" s="6">
        <v>0</v>
      </c>
      <c r="J31" s="6">
        <v>0</v>
      </c>
      <c r="K31" s="6">
        <v>0</v>
      </c>
      <c r="L31" s="6">
        <v>0</v>
      </c>
      <c r="M31" s="6">
        <v>1</v>
      </c>
      <c r="O31" s="7">
        <v>2149.7142857142858</v>
      </c>
      <c r="P31" s="7">
        <v>0</v>
      </c>
      <c r="Q31" s="7">
        <v>5016</v>
      </c>
      <c r="R31" s="7">
        <v>-2149.7142857142858</v>
      </c>
      <c r="S31" s="7">
        <v>0</v>
      </c>
      <c r="T31" s="7">
        <v>10032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T15"/>
  <sheetViews>
    <sheetView topLeftCell="G1" workbookViewId="0">
      <selection activeCell="A19" sqref="A19"/>
    </sheetView>
  </sheetViews>
  <sheetFormatPr baseColWidth="10" defaultRowHeight="15" x14ac:dyDescent="0.25"/>
  <sheetData>
    <row r="1" spans="1:20" x14ac:dyDescent="0.25">
      <c r="A1" s="6">
        <v>614.20408163265301</v>
      </c>
      <c r="B1" s="6">
        <v>0</v>
      </c>
      <c r="C1" s="6">
        <v>-2149.7142857142858</v>
      </c>
      <c r="D1" s="6">
        <v>-614.20408163265301</v>
      </c>
      <c r="E1" s="6">
        <v>0</v>
      </c>
      <c r="F1" s="6">
        <v>-2149.7142857142858</v>
      </c>
      <c r="G1" s="6">
        <v>0</v>
      </c>
      <c r="H1" s="6">
        <v>0</v>
      </c>
      <c r="I1" s="6">
        <v>0</v>
      </c>
      <c r="J1" s="6">
        <v>0</v>
      </c>
      <c r="K1" s="6">
        <v>0</v>
      </c>
      <c r="L1" s="6">
        <v>0</v>
      </c>
      <c r="M1" s="6">
        <v>0</v>
      </c>
      <c r="N1" s="6">
        <v>0</v>
      </c>
      <c r="O1" s="6">
        <v>0</v>
      </c>
      <c r="Q1" s="8" t="s">
        <v>15</v>
      </c>
      <c r="R1" s="10">
        <v>16.294615658530617</v>
      </c>
      <c r="S1" s="7">
        <v>0</v>
      </c>
      <c r="T1" s="10">
        <v>0</v>
      </c>
    </row>
    <row r="2" spans="1:20" x14ac:dyDescent="0.25">
      <c r="A2" s="6">
        <v>0</v>
      </c>
      <c r="B2" s="6">
        <v>161400</v>
      </c>
      <c r="C2" s="6">
        <v>0</v>
      </c>
      <c r="D2" s="6">
        <v>0</v>
      </c>
      <c r="E2" s="6">
        <v>-161400</v>
      </c>
      <c r="F2" s="6">
        <v>0</v>
      </c>
      <c r="G2" s="6">
        <v>0</v>
      </c>
      <c r="H2" s="6">
        <v>0</v>
      </c>
      <c r="I2" s="6">
        <v>0</v>
      </c>
      <c r="J2" s="6">
        <v>0</v>
      </c>
      <c r="K2" s="6">
        <v>0</v>
      </c>
      <c r="L2" s="6">
        <v>0</v>
      </c>
      <c r="M2" s="6">
        <v>0</v>
      </c>
      <c r="N2" s="6">
        <v>0</v>
      </c>
      <c r="O2" s="6">
        <v>0</v>
      </c>
      <c r="Q2" s="8" t="s">
        <v>16</v>
      </c>
      <c r="R2" s="10">
        <v>31.405002179999997</v>
      </c>
      <c r="S2" s="7">
        <v>0</v>
      </c>
      <c r="T2" s="10">
        <v>0</v>
      </c>
    </row>
    <row r="3" spans="1:20" x14ac:dyDescent="0.25">
      <c r="A3" s="6">
        <v>-2149.7142857142858</v>
      </c>
      <c r="B3" s="6">
        <v>0</v>
      </c>
      <c r="C3" s="6">
        <v>10032</v>
      </c>
      <c r="D3" s="6">
        <v>2149.7142857142858</v>
      </c>
      <c r="E3" s="6">
        <v>0</v>
      </c>
      <c r="F3" s="6">
        <v>5016</v>
      </c>
      <c r="G3" s="6">
        <v>0</v>
      </c>
      <c r="H3" s="6">
        <v>0</v>
      </c>
      <c r="I3" s="6">
        <v>0</v>
      </c>
      <c r="J3" s="6">
        <v>0</v>
      </c>
      <c r="K3" s="6">
        <v>0</v>
      </c>
      <c r="L3" s="6">
        <v>0</v>
      </c>
      <c r="M3" s="6">
        <v>0</v>
      </c>
      <c r="N3" s="6">
        <v>0</v>
      </c>
      <c r="O3" s="6">
        <v>0</v>
      </c>
      <c r="Q3" s="8" t="s">
        <v>35</v>
      </c>
      <c r="R3" s="10">
        <v>-56.843629605857139</v>
      </c>
      <c r="S3" s="7">
        <v>0</v>
      </c>
      <c r="T3" s="10">
        <v>0</v>
      </c>
    </row>
    <row r="4" spans="1:20" x14ac:dyDescent="0.25">
      <c r="A4" s="6">
        <v>-614.20408163265301</v>
      </c>
      <c r="B4" s="6">
        <v>0</v>
      </c>
      <c r="C4" s="6">
        <v>2149.7142857142858</v>
      </c>
      <c r="D4" s="6">
        <v>89662.874080868554</v>
      </c>
      <c r="E4" s="6">
        <v>8893.3095612381749</v>
      </c>
      <c r="F4" s="6">
        <v>2083.3012096201751</v>
      </c>
      <c r="G4" s="6">
        <v>-89048.669999235906</v>
      </c>
      <c r="H4" s="6">
        <v>-8893.3095612381749</v>
      </c>
      <c r="I4" s="6">
        <v>-66.413076094110863</v>
      </c>
      <c r="J4" s="6">
        <v>0</v>
      </c>
      <c r="K4" s="6">
        <v>0</v>
      </c>
      <c r="L4" s="6">
        <v>0</v>
      </c>
      <c r="M4" s="6">
        <v>0</v>
      </c>
      <c r="N4" s="6">
        <v>0</v>
      </c>
      <c r="O4" s="6">
        <v>0</v>
      </c>
      <c r="Q4" s="8">
        <v>6.65</v>
      </c>
      <c r="S4" s="7" t="s">
        <v>17</v>
      </c>
      <c r="T4" s="10">
        <v>-1.5440926000000001E-2</v>
      </c>
    </row>
    <row r="5" spans="1:20" x14ac:dyDescent="0.25">
      <c r="A5" s="6">
        <v>0</v>
      </c>
      <c r="B5" s="6">
        <v>-161400</v>
      </c>
      <c r="C5" s="6">
        <v>0</v>
      </c>
      <c r="D5" s="6">
        <v>8893.3095612381749</v>
      </c>
      <c r="E5" s="6">
        <v>162395.5128082005</v>
      </c>
      <c r="F5" s="6">
        <v>664.20020771475754</v>
      </c>
      <c r="G5" s="6">
        <v>-8893.3095612381749</v>
      </c>
      <c r="H5" s="6">
        <v>-995.51280820049396</v>
      </c>
      <c r="I5" s="6">
        <v>664.20020771475754</v>
      </c>
      <c r="J5" s="6">
        <v>0</v>
      </c>
      <c r="K5" s="6">
        <v>0</v>
      </c>
      <c r="L5" s="6">
        <v>0</v>
      </c>
      <c r="M5" s="6">
        <v>0</v>
      </c>
      <c r="N5" s="6">
        <v>0</v>
      </c>
      <c r="O5" s="6">
        <v>0</v>
      </c>
      <c r="Q5" s="8">
        <v>-15.702500000000001</v>
      </c>
      <c r="S5" s="7" t="s">
        <v>54</v>
      </c>
      <c r="T5" s="10">
        <v>-1.9457869999999999E-4</v>
      </c>
    </row>
    <row r="6" spans="1:20" x14ac:dyDescent="0.25">
      <c r="A6" s="6">
        <v>-2149.7142857142858</v>
      </c>
      <c r="B6" s="6">
        <v>0</v>
      </c>
      <c r="C6" s="6">
        <v>5016</v>
      </c>
      <c r="D6" s="6">
        <v>2083.3012096201751</v>
      </c>
      <c r="E6" s="6">
        <v>664.20020771475754</v>
      </c>
      <c r="F6" s="6">
        <v>15622.192644483363</v>
      </c>
      <c r="G6" s="6">
        <v>66.413076094110863</v>
      </c>
      <c r="H6" s="6">
        <v>-664.20020771475754</v>
      </c>
      <c r="I6" s="6">
        <v>2795.0963222416813</v>
      </c>
      <c r="J6" s="6">
        <v>0</v>
      </c>
      <c r="K6" s="6">
        <v>0</v>
      </c>
      <c r="L6" s="6">
        <v>0</v>
      </c>
      <c r="M6" s="6">
        <v>0</v>
      </c>
      <c r="N6" s="6">
        <v>0</v>
      </c>
      <c r="O6" s="6">
        <v>0</v>
      </c>
      <c r="Q6" s="8">
        <v>-25.1174675</v>
      </c>
      <c r="S6" s="7" t="s">
        <v>18</v>
      </c>
      <c r="T6" s="10">
        <v>-6.2616395E-3</v>
      </c>
    </row>
    <row r="7" spans="1:20" x14ac:dyDescent="0.25">
      <c r="A7" s="6">
        <v>0</v>
      </c>
      <c r="B7" s="6">
        <v>0</v>
      </c>
      <c r="C7" s="6">
        <v>0</v>
      </c>
      <c r="D7" s="6">
        <v>-89048.669999235906</v>
      </c>
      <c r="E7" s="6">
        <v>-8893.3095612381749</v>
      </c>
      <c r="F7" s="6">
        <v>66.413076094110863</v>
      </c>
      <c r="G7" s="6">
        <v>178097.33999847181</v>
      </c>
      <c r="H7" s="6">
        <v>0</v>
      </c>
      <c r="I7" s="6">
        <v>132.82615218822173</v>
      </c>
      <c r="J7" s="6">
        <v>-89048.669999235906</v>
      </c>
      <c r="K7" s="6">
        <v>8893.3095612381749</v>
      </c>
      <c r="L7" s="6">
        <v>66.413076094110863</v>
      </c>
      <c r="M7" s="6">
        <v>0</v>
      </c>
      <c r="N7" s="6">
        <v>0</v>
      </c>
      <c r="O7" s="6">
        <v>0</v>
      </c>
      <c r="Q7" s="8">
        <v>0</v>
      </c>
      <c r="S7" s="7" t="s">
        <v>26</v>
      </c>
      <c r="T7" s="10">
        <v>0</v>
      </c>
    </row>
    <row r="8" spans="1:20" x14ac:dyDescent="0.25">
      <c r="A8" s="6">
        <v>0</v>
      </c>
      <c r="B8" s="6">
        <v>0</v>
      </c>
      <c r="C8" s="6">
        <v>0</v>
      </c>
      <c r="D8" s="6">
        <v>-8893.3095612381749</v>
      </c>
      <c r="E8" s="6">
        <v>-995.51280820049396</v>
      </c>
      <c r="F8" s="6">
        <v>-664.20020771475754</v>
      </c>
      <c r="G8" s="6">
        <v>0</v>
      </c>
      <c r="H8" s="6">
        <v>1991.0256164009879</v>
      </c>
      <c r="I8" s="6">
        <v>0</v>
      </c>
      <c r="J8" s="6">
        <v>8893.3095612381749</v>
      </c>
      <c r="K8" s="6">
        <v>-995.51280820049396</v>
      </c>
      <c r="L8" s="6">
        <v>664.20020771475754</v>
      </c>
      <c r="M8" s="6">
        <v>0</v>
      </c>
      <c r="N8" s="6">
        <v>0</v>
      </c>
      <c r="O8" s="6">
        <v>0</v>
      </c>
      <c r="Q8" s="8">
        <v>-31.405000000000001</v>
      </c>
      <c r="S8" s="7" t="s">
        <v>55</v>
      </c>
      <c r="T8" s="10">
        <v>-0.1580854827</v>
      </c>
    </row>
    <row r="9" spans="1:20" x14ac:dyDescent="0.25">
      <c r="A9" s="6">
        <v>0</v>
      </c>
      <c r="B9" s="6">
        <v>0</v>
      </c>
      <c r="C9" s="6">
        <v>0</v>
      </c>
      <c r="D9" s="6">
        <v>-66.413076094110863</v>
      </c>
      <c r="E9" s="6">
        <v>664.20020771475754</v>
      </c>
      <c r="F9" s="6">
        <v>2795.0963222416813</v>
      </c>
      <c r="G9" s="6">
        <v>132.82615218822173</v>
      </c>
      <c r="H9" s="6">
        <v>0</v>
      </c>
      <c r="I9" s="6">
        <v>11180.385288966725</v>
      </c>
      <c r="J9" s="6">
        <v>-66.413076094110863</v>
      </c>
      <c r="K9" s="6">
        <v>-664.20020771475754</v>
      </c>
      <c r="L9" s="6">
        <v>2795.0963222416813</v>
      </c>
      <c r="M9" s="6">
        <v>0</v>
      </c>
      <c r="N9" s="6">
        <v>0</v>
      </c>
      <c r="O9" s="6">
        <v>0</v>
      </c>
      <c r="Q9" s="8">
        <v>0</v>
      </c>
      <c r="S9" s="7" t="s">
        <v>27</v>
      </c>
      <c r="T9" s="10">
        <v>0</v>
      </c>
    </row>
    <row r="10" spans="1:20" x14ac:dyDescent="0.25">
      <c r="A10" s="6">
        <v>0</v>
      </c>
      <c r="B10" s="6">
        <v>0</v>
      </c>
      <c r="C10" s="6">
        <v>0</v>
      </c>
      <c r="D10" s="6">
        <v>0</v>
      </c>
      <c r="E10" s="6">
        <v>0</v>
      </c>
      <c r="F10" s="6">
        <v>0</v>
      </c>
      <c r="G10" s="6">
        <v>-89048.669999235906</v>
      </c>
      <c r="H10" s="6">
        <v>8893.3095612381749</v>
      </c>
      <c r="I10" s="6">
        <v>-66.413076094110863</v>
      </c>
      <c r="J10" s="6">
        <v>89662.874080868554</v>
      </c>
      <c r="K10" s="6">
        <v>-8893.3095612381749</v>
      </c>
      <c r="L10" s="6">
        <v>2083.3012096201751</v>
      </c>
      <c r="M10" s="6">
        <v>-614.20408163265301</v>
      </c>
      <c r="N10" s="6">
        <v>0</v>
      </c>
      <c r="O10" s="6">
        <v>2149.7142857142858</v>
      </c>
      <c r="Q10" s="8">
        <v>-6.65</v>
      </c>
      <c r="S10" s="7" t="s">
        <v>56</v>
      </c>
      <c r="T10" s="10">
        <v>1.5440926000000001E-2</v>
      </c>
    </row>
    <row r="11" spans="1:20" x14ac:dyDescent="0.25">
      <c r="A11" s="6">
        <v>0</v>
      </c>
      <c r="B11" s="6">
        <v>0</v>
      </c>
      <c r="C11" s="6">
        <v>0</v>
      </c>
      <c r="D11" s="6">
        <v>0</v>
      </c>
      <c r="E11" s="6">
        <v>0</v>
      </c>
      <c r="F11" s="6">
        <v>0</v>
      </c>
      <c r="G11" s="6">
        <v>8893.3095612381749</v>
      </c>
      <c r="H11" s="6">
        <v>-995.51280820049396</v>
      </c>
      <c r="I11" s="6">
        <v>-664.20020771475754</v>
      </c>
      <c r="J11" s="6">
        <v>-8893.3095612381749</v>
      </c>
      <c r="K11" s="6">
        <v>162395.5128082005</v>
      </c>
      <c r="L11" s="6">
        <v>-664.20020771475754</v>
      </c>
      <c r="M11" s="6">
        <v>0</v>
      </c>
      <c r="N11" s="6">
        <v>-161400</v>
      </c>
      <c r="O11" s="6">
        <v>0</v>
      </c>
      <c r="Q11" s="8">
        <v>-15.702500000000001</v>
      </c>
      <c r="S11" s="7" t="s">
        <v>57</v>
      </c>
      <c r="T11" s="10">
        <v>-1.9457869999999999E-4</v>
      </c>
    </row>
    <row r="12" spans="1:20" x14ac:dyDescent="0.25">
      <c r="A12" s="6">
        <v>0</v>
      </c>
      <c r="B12" s="6">
        <v>0</v>
      </c>
      <c r="C12" s="6">
        <v>0</v>
      </c>
      <c r="D12" s="6">
        <v>0</v>
      </c>
      <c r="E12" s="6">
        <v>0</v>
      </c>
      <c r="F12" s="6">
        <v>0</v>
      </c>
      <c r="G12" s="6">
        <v>66.413076094110863</v>
      </c>
      <c r="H12" s="6">
        <v>664.20020771475754</v>
      </c>
      <c r="I12" s="6">
        <v>2795.0963222416813</v>
      </c>
      <c r="J12" s="6">
        <v>2083.3012096201751</v>
      </c>
      <c r="K12" s="6">
        <v>-664.20020771475754</v>
      </c>
      <c r="L12" s="6">
        <v>15622.192644483363</v>
      </c>
      <c r="M12" s="6">
        <v>-2149.7142857142858</v>
      </c>
      <c r="N12" s="6">
        <v>0</v>
      </c>
      <c r="O12" s="6">
        <v>5016</v>
      </c>
      <c r="Q12" s="8">
        <v>25.1174675</v>
      </c>
      <c r="S12" s="7" t="s">
        <v>58</v>
      </c>
      <c r="T12" s="10">
        <v>6.2616395E-3</v>
      </c>
    </row>
    <row r="13" spans="1:20" x14ac:dyDescent="0.25">
      <c r="A13" s="6">
        <v>0</v>
      </c>
      <c r="B13" s="6">
        <v>0</v>
      </c>
      <c r="C13" s="6">
        <v>0</v>
      </c>
      <c r="D13" s="6">
        <v>0</v>
      </c>
      <c r="E13" s="6">
        <v>0</v>
      </c>
      <c r="F13" s="6">
        <v>0</v>
      </c>
      <c r="G13" s="6">
        <v>0</v>
      </c>
      <c r="H13" s="6">
        <v>0</v>
      </c>
      <c r="I13" s="6">
        <v>0</v>
      </c>
      <c r="J13" s="6">
        <v>-614.20408163265301</v>
      </c>
      <c r="K13" s="6">
        <v>0</v>
      </c>
      <c r="L13" s="6">
        <v>-2149.7142857142858</v>
      </c>
      <c r="M13" s="6">
        <v>614.20408163265301</v>
      </c>
      <c r="N13" s="6">
        <v>0</v>
      </c>
      <c r="O13" s="6">
        <v>-2149.7142857142858</v>
      </c>
      <c r="Q13" s="8" t="s">
        <v>59</v>
      </c>
      <c r="R13" s="10">
        <v>-16.294615658530617</v>
      </c>
      <c r="S13" s="7">
        <v>0</v>
      </c>
      <c r="T13" s="10">
        <v>0</v>
      </c>
    </row>
    <row r="14" spans="1:20" x14ac:dyDescent="0.25">
      <c r="A14" s="6">
        <v>0</v>
      </c>
      <c r="B14" s="6">
        <v>0</v>
      </c>
      <c r="C14" s="6">
        <v>0</v>
      </c>
      <c r="D14" s="6">
        <v>0</v>
      </c>
      <c r="E14" s="6">
        <v>0</v>
      </c>
      <c r="F14" s="6">
        <v>0</v>
      </c>
      <c r="G14" s="6">
        <v>0</v>
      </c>
      <c r="H14" s="6">
        <v>0</v>
      </c>
      <c r="I14" s="6">
        <v>0</v>
      </c>
      <c r="J14" s="6">
        <v>0</v>
      </c>
      <c r="K14" s="6">
        <v>-161400</v>
      </c>
      <c r="L14" s="6">
        <v>0</v>
      </c>
      <c r="M14" s="6">
        <v>0</v>
      </c>
      <c r="N14" s="6">
        <v>161400</v>
      </c>
      <c r="O14" s="6">
        <v>0</v>
      </c>
      <c r="Q14" s="8" t="s">
        <v>60</v>
      </c>
      <c r="R14" s="10">
        <v>31.405002179999997</v>
      </c>
      <c r="S14" s="7">
        <v>0</v>
      </c>
      <c r="T14" s="10">
        <v>0</v>
      </c>
    </row>
    <row r="15" spans="1:20" x14ac:dyDescent="0.25">
      <c r="A15" s="6">
        <v>0</v>
      </c>
      <c r="B15" s="6">
        <v>0</v>
      </c>
      <c r="C15" s="6">
        <v>0</v>
      </c>
      <c r="D15" s="6">
        <v>0</v>
      </c>
      <c r="E15" s="6">
        <v>0</v>
      </c>
      <c r="F15" s="6">
        <v>0</v>
      </c>
      <c r="G15" s="6">
        <v>0</v>
      </c>
      <c r="H15" s="6">
        <v>0</v>
      </c>
      <c r="I15" s="6">
        <v>0</v>
      </c>
      <c r="J15" s="6">
        <v>2149.7142857142858</v>
      </c>
      <c r="K15" s="6">
        <v>0</v>
      </c>
      <c r="L15" s="6">
        <v>5016</v>
      </c>
      <c r="M15" s="6">
        <v>-2149.7142857142858</v>
      </c>
      <c r="N15" s="6">
        <v>0</v>
      </c>
      <c r="O15" s="6">
        <v>10032</v>
      </c>
      <c r="Q15" s="8" t="s">
        <v>61</v>
      </c>
      <c r="R15" s="10">
        <v>56.843629605857139</v>
      </c>
      <c r="S15" s="7">
        <v>0</v>
      </c>
      <c r="T15" s="10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N19"/>
  <sheetViews>
    <sheetView zoomScale="115" zoomScaleNormal="115" workbookViewId="0">
      <selection activeCell="H19" sqref="H19"/>
    </sheetView>
  </sheetViews>
  <sheetFormatPr baseColWidth="10" defaultRowHeight="15" x14ac:dyDescent="0.25"/>
  <sheetData>
    <row r="1" spans="1:14" x14ac:dyDescent="0.25">
      <c r="A1" s="6">
        <v>89662.874080868554</v>
      </c>
      <c r="B1" s="6">
        <v>8893.3095612381749</v>
      </c>
      <c r="C1" s="6">
        <v>2083.3012096201751</v>
      </c>
      <c r="D1" s="6">
        <v>-89048.669999235906</v>
      </c>
      <c r="E1" s="6">
        <v>-8893.3095612381749</v>
      </c>
      <c r="F1" s="6">
        <v>-66.413076094110863</v>
      </c>
      <c r="G1" s="6">
        <v>0</v>
      </c>
      <c r="H1" s="6">
        <v>0</v>
      </c>
      <c r="I1" s="6">
        <v>0</v>
      </c>
      <c r="K1" s="8">
        <v>6.65</v>
      </c>
      <c r="M1" s="7" t="s">
        <v>17</v>
      </c>
      <c r="N1" s="10">
        <v>-1.5440926000000001E-2</v>
      </c>
    </row>
    <row r="2" spans="1:14" x14ac:dyDescent="0.25">
      <c r="A2" s="6">
        <v>8893.3095612381749</v>
      </c>
      <c r="B2" s="6">
        <v>162395.5128082005</v>
      </c>
      <c r="C2" s="6">
        <v>664.20020771475754</v>
      </c>
      <c r="D2" s="6">
        <v>-8893.3095612381749</v>
      </c>
      <c r="E2" s="6">
        <v>-995.51280820049396</v>
      </c>
      <c r="F2" s="6">
        <v>664.20020771475754</v>
      </c>
      <c r="G2" s="6">
        <v>0</v>
      </c>
      <c r="H2" s="6">
        <v>0</v>
      </c>
      <c r="I2" s="6">
        <v>0</v>
      </c>
      <c r="K2" s="8">
        <v>-15.702500000000001</v>
      </c>
      <c r="M2" s="7" t="s">
        <v>54</v>
      </c>
      <c r="N2" s="10">
        <v>-1.9457869999999999E-4</v>
      </c>
    </row>
    <row r="3" spans="1:14" x14ac:dyDescent="0.25">
      <c r="A3" s="6">
        <v>2083.3012096201751</v>
      </c>
      <c r="B3" s="6">
        <v>664.20020771475754</v>
      </c>
      <c r="C3" s="6">
        <v>15622.192644483363</v>
      </c>
      <c r="D3" s="6">
        <v>66.413076094110863</v>
      </c>
      <c r="E3" s="6">
        <v>-664.20020771475754</v>
      </c>
      <c r="F3" s="6">
        <v>2795.0963222416813</v>
      </c>
      <c r="G3" s="6">
        <v>0</v>
      </c>
      <c r="H3" s="6">
        <v>0</v>
      </c>
      <c r="I3" s="6">
        <v>0</v>
      </c>
      <c r="K3" s="8">
        <v>-25.1174675</v>
      </c>
      <c r="M3" s="7" t="s">
        <v>18</v>
      </c>
      <c r="N3" s="10">
        <v>-6.2616395E-3</v>
      </c>
    </row>
    <row r="4" spans="1:14" x14ac:dyDescent="0.25">
      <c r="A4" s="6">
        <v>-89048.669999235906</v>
      </c>
      <c r="B4" s="6">
        <v>-8893.3095612381749</v>
      </c>
      <c r="C4" s="6">
        <v>66.413076094110863</v>
      </c>
      <c r="D4" s="6">
        <v>178097.33999847181</v>
      </c>
      <c r="E4" s="6">
        <v>0</v>
      </c>
      <c r="F4" s="6">
        <v>132.82615218822173</v>
      </c>
      <c r="G4" s="6">
        <v>-89048.669999235906</v>
      </c>
      <c r="H4" s="6">
        <v>8893.3095612381749</v>
      </c>
      <c r="I4" s="6">
        <v>66.413076094110863</v>
      </c>
      <c r="K4" s="8">
        <v>0</v>
      </c>
      <c r="M4" s="7" t="s">
        <v>26</v>
      </c>
      <c r="N4" s="10">
        <v>0</v>
      </c>
    </row>
    <row r="5" spans="1:14" x14ac:dyDescent="0.25">
      <c r="A5" s="6">
        <v>-8893.3095612381749</v>
      </c>
      <c r="B5" s="6">
        <v>-995.51280820049396</v>
      </c>
      <c r="C5" s="6">
        <v>-664.20020771475754</v>
      </c>
      <c r="D5" s="6">
        <v>0</v>
      </c>
      <c r="E5" s="6">
        <v>1991.0256164009879</v>
      </c>
      <c r="F5" s="6">
        <v>0</v>
      </c>
      <c r="G5" s="6">
        <v>8893.3095612381749</v>
      </c>
      <c r="H5" s="6">
        <v>-995.51280820049396</v>
      </c>
      <c r="I5" s="6">
        <v>664.20020771475754</v>
      </c>
      <c r="K5" s="8">
        <v>-31.405000000000001</v>
      </c>
      <c r="M5" s="7" t="s">
        <v>55</v>
      </c>
      <c r="N5" s="10">
        <v>-0.1580854827</v>
      </c>
    </row>
    <row r="6" spans="1:14" x14ac:dyDescent="0.25">
      <c r="A6" s="6">
        <v>-66.413076094110863</v>
      </c>
      <c r="B6" s="6">
        <v>664.20020771475754</v>
      </c>
      <c r="C6" s="6">
        <v>2795.0963222416813</v>
      </c>
      <c r="D6" s="6">
        <v>132.82615218822173</v>
      </c>
      <c r="E6" s="6">
        <v>0</v>
      </c>
      <c r="F6" s="6">
        <v>11180.385288966725</v>
      </c>
      <c r="G6" s="6">
        <v>-66.413076094110863</v>
      </c>
      <c r="H6" s="6">
        <v>-664.20020771475754</v>
      </c>
      <c r="I6" s="6">
        <v>2795.0963222416813</v>
      </c>
      <c r="K6" s="8">
        <v>0</v>
      </c>
      <c r="M6" s="7" t="s">
        <v>27</v>
      </c>
      <c r="N6" s="10">
        <v>0</v>
      </c>
    </row>
    <row r="7" spans="1:14" x14ac:dyDescent="0.25">
      <c r="A7" s="6">
        <v>0</v>
      </c>
      <c r="B7" s="6">
        <v>0</v>
      </c>
      <c r="C7" s="6">
        <v>0</v>
      </c>
      <c r="D7" s="6">
        <v>-89048.669999235906</v>
      </c>
      <c r="E7" s="6">
        <v>8893.3095612381749</v>
      </c>
      <c r="F7" s="6">
        <v>-66.413076094110863</v>
      </c>
      <c r="G7" s="6">
        <v>89662.874080868554</v>
      </c>
      <c r="H7" s="6">
        <v>-8893.3095612381749</v>
      </c>
      <c r="I7" s="6">
        <v>2083.3012096201751</v>
      </c>
      <c r="K7" s="8">
        <v>-6.65</v>
      </c>
      <c r="M7" s="7" t="s">
        <v>56</v>
      </c>
      <c r="N7" s="10">
        <v>1.5440926000000001E-2</v>
      </c>
    </row>
    <row r="8" spans="1:14" x14ac:dyDescent="0.25">
      <c r="A8" s="6">
        <v>0</v>
      </c>
      <c r="B8" s="6">
        <v>0</v>
      </c>
      <c r="C8" s="6">
        <v>0</v>
      </c>
      <c r="D8" s="6">
        <v>8893.3095612381749</v>
      </c>
      <c r="E8" s="6">
        <v>-995.51280820049396</v>
      </c>
      <c r="F8" s="6">
        <v>-664.20020771475754</v>
      </c>
      <c r="G8" s="6">
        <v>-8893.3095612381749</v>
      </c>
      <c r="H8" s="6">
        <v>162395.5128082005</v>
      </c>
      <c r="I8" s="6">
        <v>-664.20020771475754</v>
      </c>
      <c r="K8" s="8">
        <v>-15.702500000000001</v>
      </c>
      <c r="M8" s="7" t="s">
        <v>57</v>
      </c>
      <c r="N8" s="10">
        <v>-1.9457869999999999E-4</v>
      </c>
    </row>
    <row r="9" spans="1:14" x14ac:dyDescent="0.25">
      <c r="A9" s="6">
        <v>0</v>
      </c>
      <c r="B9" s="6">
        <v>0</v>
      </c>
      <c r="C9" s="6">
        <v>0</v>
      </c>
      <c r="D9" s="6">
        <v>66.413076094110863</v>
      </c>
      <c r="E9" s="6">
        <v>664.20020771475754</v>
      </c>
      <c r="F9" s="6">
        <v>2795.0963222416813</v>
      </c>
      <c r="G9" s="6">
        <v>2083.3012096201751</v>
      </c>
      <c r="H9" s="6">
        <v>-664.20020771475754</v>
      </c>
      <c r="I9" s="6">
        <v>15622.192644483363</v>
      </c>
      <c r="K9" s="8">
        <v>25.1174675</v>
      </c>
      <c r="M9" s="7" t="s">
        <v>58</v>
      </c>
      <c r="N9" s="10">
        <v>6.2616395E-3</v>
      </c>
    </row>
    <row r="10" spans="1:14" x14ac:dyDescent="0.25">
      <c r="N10" t="s">
        <v>19</v>
      </c>
    </row>
    <row r="11" spans="1:14" x14ac:dyDescent="0.25">
      <c r="A11" s="9">
        <v>1.7823693251346224E-3</v>
      </c>
      <c r="B11" s="9">
        <v>5.4272511948910919E-7</v>
      </c>
      <c r="C11" s="9">
        <v>-2.4746874645851336E-4</v>
      </c>
      <c r="D11" s="9">
        <v>1.7284012746111199E-3</v>
      </c>
      <c r="E11" s="9">
        <v>4.9263182152034242E-4</v>
      </c>
      <c r="F11" s="9">
        <v>1.3053199325880393E-4</v>
      </c>
      <c r="G11" s="9">
        <v>1.6741299189810893E-3</v>
      </c>
      <c r="H11" s="9">
        <v>-5.4272511948911035E-7</v>
      </c>
      <c r="I11" s="9">
        <v>-2.7492436938892538E-4</v>
      </c>
    </row>
    <row r="12" spans="1:14" x14ac:dyDescent="0.25">
      <c r="A12" s="9">
        <v>5.4272511948910792E-7</v>
      </c>
      <c r="B12" s="9">
        <v>6.1955940958723015E-6</v>
      </c>
      <c r="C12" s="9">
        <v>-1.5506431985403064E-7</v>
      </c>
      <c r="D12" s="9">
        <v>8.5242820703676644E-7</v>
      </c>
      <c r="E12" s="9">
        <v>3.0978934324659269E-6</v>
      </c>
      <c r="F12" s="9">
        <v>-2.9420131885448296E-7</v>
      </c>
      <c r="G12" s="9">
        <v>5.4272511948910834E-7</v>
      </c>
      <c r="H12" s="9">
        <v>1.9276905954371474E-10</v>
      </c>
      <c r="I12" s="9">
        <v>-1.5506431985403035E-7</v>
      </c>
    </row>
    <row r="13" spans="1:14" x14ac:dyDescent="0.25">
      <c r="A13" s="9">
        <v>-2.4746874645851336E-4</v>
      </c>
      <c r="B13" s="9">
        <v>-1.5506431985403075E-7</v>
      </c>
      <c r="C13" s="9">
        <v>1.1104989058086364E-4</v>
      </c>
      <c r="D13" s="9">
        <v>-2.6123988722465195E-4</v>
      </c>
      <c r="E13" s="9">
        <v>1.469367111177012E-4</v>
      </c>
      <c r="F13" s="9">
        <v>-3.729485521680092E-5</v>
      </c>
      <c r="G13" s="9">
        <v>-2.7492436938892544E-4</v>
      </c>
      <c r="H13" s="9">
        <v>1.5506431985403109E-7</v>
      </c>
      <c r="I13" s="9">
        <v>3.8205285375546596E-5</v>
      </c>
    </row>
    <row r="14" spans="1:14" x14ac:dyDescent="0.25">
      <c r="A14" s="9">
        <v>1.7284012746111197E-3</v>
      </c>
      <c r="B14" s="9">
        <v>8.5242820703676612E-7</v>
      </c>
      <c r="C14" s="9">
        <v>-2.6123988722465211E-4</v>
      </c>
      <c r="D14" s="9">
        <v>1.734198857898178E-3</v>
      </c>
      <c r="E14" s="9">
        <v>2.2092615539839629E-18</v>
      </c>
      <c r="F14" s="9">
        <v>1.3044978519513445E-4</v>
      </c>
      <c r="G14" s="9">
        <v>1.7284012746111197E-3</v>
      </c>
      <c r="H14" s="9">
        <v>-8.5242820703676782E-7</v>
      </c>
      <c r="I14" s="9">
        <v>-2.6123988722465201E-4</v>
      </c>
    </row>
    <row r="15" spans="1:14" x14ac:dyDescent="0.25">
      <c r="A15" s="9">
        <v>4.9263182152034057E-4</v>
      </c>
      <c r="B15" s="9">
        <v>3.0978934324659261E-6</v>
      </c>
      <c r="C15" s="9">
        <v>1.4693671111770158E-4</v>
      </c>
      <c r="D15" s="9">
        <v>2.6484425878566221E-18</v>
      </c>
      <c r="E15" s="9">
        <v>5.0042617574534076E-3</v>
      </c>
      <c r="F15" s="9">
        <v>-1.6552766174103888E-19</v>
      </c>
      <c r="G15" s="9">
        <v>-4.9263182152033851E-4</v>
      </c>
      <c r="H15" s="9">
        <v>3.0978934324659239E-6</v>
      </c>
      <c r="I15" s="9">
        <v>-1.4693671111770106E-4</v>
      </c>
    </row>
    <row r="16" spans="1:14" x14ac:dyDescent="0.25">
      <c r="A16" s="9">
        <v>1.3053199325880398E-4</v>
      </c>
      <c r="B16" s="9">
        <v>-2.942013188544827E-7</v>
      </c>
      <c r="C16" s="9">
        <v>-3.729485521680092E-5</v>
      </c>
      <c r="D16" s="9">
        <v>1.3044978519513448E-4</v>
      </c>
      <c r="E16" s="9">
        <v>1.5878987363968401E-19</v>
      </c>
      <c r="F16" s="9">
        <v>1.0812571576025877E-4</v>
      </c>
      <c r="G16" s="9">
        <v>1.3053199325880396E-4</v>
      </c>
      <c r="H16" s="9">
        <v>2.9420131885448265E-7</v>
      </c>
      <c r="I16" s="9">
        <v>-3.7294855216800906E-5</v>
      </c>
    </row>
    <row r="17" spans="1:9" x14ac:dyDescent="0.25">
      <c r="A17" s="9">
        <v>1.6741299189810888E-3</v>
      </c>
      <c r="B17" s="9">
        <v>5.4272511948910866E-7</v>
      </c>
      <c r="C17" s="9">
        <v>-2.7492436938892555E-4</v>
      </c>
      <c r="D17" s="9">
        <v>1.7284012746111195E-3</v>
      </c>
      <c r="E17" s="9">
        <v>-4.9263182152033808E-4</v>
      </c>
      <c r="F17" s="9">
        <v>1.3053199325880401E-4</v>
      </c>
      <c r="G17" s="9">
        <v>1.7823693251346217E-3</v>
      </c>
      <c r="H17" s="9">
        <v>-5.4272511948911057E-7</v>
      </c>
      <c r="I17" s="9">
        <v>-2.4746874645851331E-4</v>
      </c>
    </row>
    <row r="18" spans="1:9" x14ac:dyDescent="0.25">
      <c r="A18" s="9">
        <v>-5.4272511948909373E-7</v>
      </c>
      <c r="B18" s="9">
        <v>1.9276905954372148E-10</v>
      </c>
      <c r="C18" s="9">
        <v>1.5506431985402855E-7</v>
      </c>
      <c r="D18" s="9">
        <v>-8.5242820703675088E-7</v>
      </c>
      <c r="E18" s="9">
        <v>3.097893432465921E-6</v>
      </c>
      <c r="F18" s="9">
        <v>2.9420131885448376E-7</v>
      </c>
      <c r="G18" s="9">
        <v>-5.427251194890932E-7</v>
      </c>
      <c r="H18" s="9">
        <v>6.1955940958723032E-6</v>
      </c>
      <c r="I18" s="9">
        <v>1.5506431985402919E-7</v>
      </c>
    </row>
    <row r="19" spans="1:9" x14ac:dyDescent="0.25">
      <c r="A19" s="9">
        <v>-2.7492436938892555E-4</v>
      </c>
      <c r="B19" s="9">
        <v>-1.5506431985403093E-7</v>
      </c>
      <c r="C19" s="9">
        <v>3.8205285375546603E-5</v>
      </c>
      <c r="D19" s="9">
        <v>-2.6123988722465211E-4</v>
      </c>
      <c r="E19" s="9">
        <v>-1.4693671111770185E-4</v>
      </c>
      <c r="F19" s="9">
        <v>-3.729485521680092E-5</v>
      </c>
      <c r="G19" s="9">
        <v>-2.4746874645851336E-4</v>
      </c>
      <c r="H19" s="9">
        <v>1.5506431985403109E-7</v>
      </c>
      <c r="I19" s="9">
        <v>1.1104989058086361E-4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F31"/>
  <sheetViews>
    <sheetView workbookViewId="0">
      <selection activeCell="D18" sqref="D18"/>
    </sheetView>
  </sheetViews>
  <sheetFormatPr baseColWidth="10" defaultRowHeight="15" x14ac:dyDescent="0.25"/>
  <sheetData>
    <row r="1" spans="1:6" x14ac:dyDescent="0.25">
      <c r="B1" t="s">
        <v>36</v>
      </c>
    </row>
    <row r="2" spans="1:6" x14ac:dyDescent="0.25">
      <c r="A2" t="s">
        <v>37</v>
      </c>
      <c r="B2" s="10">
        <v>31.405002179999997</v>
      </c>
      <c r="D2">
        <v>0</v>
      </c>
      <c r="F2">
        <v>31.405002179999997</v>
      </c>
    </row>
    <row r="3" spans="1:6" x14ac:dyDescent="0.25">
      <c r="A3" t="s">
        <v>38</v>
      </c>
      <c r="B3" s="10">
        <v>-16.294615658530617</v>
      </c>
      <c r="D3">
        <v>6.65</v>
      </c>
      <c r="F3">
        <v>-22.944615658530616</v>
      </c>
    </row>
    <row r="4" spans="1:6" x14ac:dyDescent="0.25">
      <c r="A4" t="s">
        <v>39</v>
      </c>
      <c r="B4" s="10">
        <v>-56.843629605857139</v>
      </c>
      <c r="D4">
        <v>7.7583333330000004</v>
      </c>
      <c r="F4">
        <v>-64.601962938857142</v>
      </c>
    </row>
    <row r="5" spans="1:6" x14ac:dyDescent="0.25">
      <c r="A5" t="s">
        <v>40</v>
      </c>
      <c r="B5" s="10">
        <v>-15.702502179999996</v>
      </c>
      <c r="D5">
        <v>15.702500000000001</v>
      </c>
      <c r="F5">
        <v>-31.405002179999997</v>
      </c>
    </row>
    <row r="6" spans="1:6" x14ac:dyDescent="0.25">
      <c r="A6" t="s">
        <v>41</v>
      </c>
      <c r="B6" s="10">
        <v>29.594615658530614</v>
      </c>
      <c r="D6">
        <v>6.65</v>
      </c>
      <c r="F6">
        <v>22.944615658530616</v>
      </c>
    </row>
    <row r="7" spans="1:6" x14ac:dyDescent="0.25">
      <c r="A7" t="s">
        <v>42</v>
      </c>
      <c r="B7" s="10">
        <v>-70.892879170857142</v>
      </c>
      <c r="D7">
        <v>25.1174675</v>
      </c>
      <c r="F7">
        <v>-96.010346670857146</v>
      </c>
    </row>
    <row r="9" spans="1:6" x14ac:dyDescent="0.25">
      <c r="B9" t="s">
        <v>43</v>
      </c>
    </row>
    <row r="10" spans="1:6" x14ac:dyDescent="0.25">
      <c r="A10" t="s">
        <v>40</v>
      </c>
      <c r="B10" s="10">
        <v>25.955361737481606</v>
      </c>
      <c r="D10">
        <v>-5.0547087650444995</v>
      </c>
      <c r="F10">
        <v>31.010070502526105</v>
      </c>
    </row>
    <row r="11" spans="1:6" x14ac:dyDescent="0.25">
      <c r="A11" t="s">
        <v>41</v>
      </c>
      <c r="B11" s="10">
        <v>28.9663370687217</v>
      </c>
      <c r="D11">
        <v>16.286218883720501</v>
      </c>
      <c r="F11">
        <v>12.6801181850012</v>
      </c>
    </row>
    <row r="12" spans="1:6" x14ac:dyDescent="0.25">
      <c r="A12" t="s">
        <v>42</v>
      </c>
      <c r="B12" s="10">
        <v>96.010347051165894</v>
      </c>
      <c r="D12">
        <v>25.1174675</v>
      </c>
      <c r="F12">
        <v>70.89287955116589</v>
      </c>
    </row>
    <row r="13" spans="1:6" x14ac:dyDescent="0.25">
      <c r="A13" t="s">
        <v>44</v>
      </c>
      <c r="B13" s="10">
        <v>-27.885479703955106</v>
      </c>
      <c r="D13">
        <v>3.1245907985710004</v>
      </c>
      <c r="F13">
        <v>-31.010070502526105</v>
      </c>
    </row>
    <row r="14" spans="1:6" x14ac:dyDescent="0.25">
      <c r="A14" t="s">
        <v>45</v>
      </c>
      <c r="B14" s="10">
        <v>18.569057120379803</v>
      </c>
      <c r="D14">
        <v>31.249175305381002</v>
      </c>
      <c r="F14">
        <v>-12.6801181850012</v>
      </c>
    </row>
    <row r="15" spans="1:6" x14ac:dyDescent="0.25">
      <c r="A15" t="s">
        <v>46</v>
      </c>
      <c r="B15" s="10">
        <v>88.394765088819142</v>
      </c>
      <c r="D15">
        <v>0</v>
      </c>
      <c r="F15">
        <v>88.394765088819142</v>
      </c>
    </row>
    <row r="17" spans="1:6" x14ac:dyDescent="0.25">
      <c r="B17" t="s">
        <v>47</v>
      </c>
    </row>
    <row r="18" spans="1:6" x14ac:dyDescent="0.25">
      <c r="A18" t="s">
        <v>44</v>
      </c>
      <c r="B18" s="10">
        <v>27.885479703955173</v>
      </c>
      <c r="D18">
        <v>-3.1245907985710004</v>
      </c>
      <c r="F18">
        <v>31.010070502526172</v>
      </c>
    </row>
    <row r="19" spans="1:6" x14ac:dyDescent="0.25">
      <c r="A19" t="s">
        <v>45</v>
      </c>
      <c r="B19" s="10">
        <v>18.569057120379803</v>
      </c>
      <c r="D19">
        <v>31.249175305381002</v>
      </c>
      <c r="F19">
        <v>-12.680118185001199</v>
      </c>
    </row>
    <row r="20" spans="1:6" x14ac:dyDescent="0.25">
      <c r="A20" t="s">
        <v>46</v>
      </c>
      <c r="B20" s="10">
        <v>-88.394765088819156</v>
      </c>
      <c r="D20">
        <v>0</v>
      </c>
      <c r="F20">
        <v>-88.394765088819156</v>
      </c>
    </row>
    <row r="21" spans="1:6" x14ac:dyDescent="0.25">
      <c r="A21" t="s">
        <v>48</v>
      </c>
      <c r="B21" s="10">
        <v>-25.955361737481674</v>
      </c>
      <c r="D21">
        <v>5.0547087650444995</v>
      </c>
      <c r="F21">
        <v>-31.010070502526172</v>
      </c>
    </row>
    <row r="22" spans="1:6" x14ac:dyDescent="0.25">
      <c r="A22" t="s">
        <v>49</v>
      </c>
      <c r="B22" s="10">
        <v>28.9663370687217</v>
      </c>
      <c r="D22">
        <v>16.286218883720501</v>
      </c>
      <c r="F22">
        <v>12.680118185001199</v>
      </c>
    </row>
    <row r="23" spans="1:6" x14ac:dyDescent="0.25">
      <c r="A23" t="s">
        <v>50</v>
      </c>
      <c r="B23" s="10">
        <v>-96.010347051165922</v>
      </c>
      <c r="D23">
        <v>-25.1174675</v>
      </c>
      <c r="F23">
        <v>-70.892879551165919</v>
      </c>
    </row>
    <row r="25" spans="1:6" x14ac:dyDescent="0.25">
      <c r="B25" t="s">
        <v>62</v>
      </c>
    </row>
    <row r="26" spans="1:6" x14ac:dyDescent="0.25">
      <c r="A26" t="s">
        <v>48</v>
      </c>
      <c r="B26" s="10">
        <v>15.702502179999996</v>
      </c>
      <c r="D26">
        <v>-15.702500000000001</v>
      </c>
      <c r="F26">
        <v>31.405002179999997</v>
      </c>
    </row>
    <row r="27" spans="1:6" x14ac:dyDescent="0.25">
      <c r="A27" t="s">
        <v>49</v>
      </c>
      <c r="B27" s="10">
        <v>29.594615658530614</v>
      </c>
      <c r="D27">
        <v>6.65</v>
      </c>
      <c r="F27">
        <v>22.944615658530616</v>
      </c>
    </row>
    <row r="28" spans="1:6" x14ac:dyDescent="0.25">
      <c r="A28" t="s">
        <v>50</v>
      </c>
      <c r="B28" s="10">
        <v>70.892879170857142</v>
      </c>
      <c r="D28">
        <v>-25.1174675</v>
      </c>
      <c r="F28">
        <v>96.010346670857146</v>
      </c>
    </row>
    <row r="29" spans="1:6" x14ac:dyDescent="0.25">
      <c r="A29" t="s">
        <v>63</v>
      </c>
      <c r="B29" s="10">
        <v>-31.405002179999997</v>
      </c>
      <c r="D29">
        <v>0</v>
      </c>
      <c r="F29">
        <v>-31.405002179999997</v>
      </c>
    </row>
    <row r="30" spans="1:6" x14ac:dyDescent="0.25">
      <c r="A30" t="s">
        <v>64</v>
      </c>
      <c r="B30" s="10">
        <v>-16.294615658530617</v>
      </c>
      <c r="D30">
        <v>6.65</v>
      </c>
      <c r="F30">
        <v>-22.944615658530616</v>
      </c>
    </row>
    <row r="31" spans="1:6" x14ac:dyDescent="0.25">
      <c r="A31" t="s">
        <v>65</v>
      </c>
      <c r="B31" s="10">
        <v>56.843629605857139</v>
      </c>
      <c r="D31">
        <v>-7.7583333330000004</v>
      </c>
      <c r="F31">
        <v>64.601962938857142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datos</vt:lpstr>
      <vt:lpstr>rigidez_global_barra</vt:lpstr>
      <vt:lpstr>ensamblado_matrices_completo</vt:lpstr>
      <vt:lpstr>ke_reducida_solucion</vt:lpstr>
      <vt:lpstr>esfuerzos_barras_diagramas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Wladi Arce</dc:creator>
  <cp:lastModifiedBy>Wladi Arce</cp:lastModifiedBy>
  <dcterms:created xsi:type="dcterms:W3CDTF">2015-12-02T13:57:34Z</dcterms:created>
  <dcterms:modified xsi:type="dcterms:W3CDTF">2016-02-11T15:36:53Z</dcterms:modified>
</cp:coreProperties>
</file>