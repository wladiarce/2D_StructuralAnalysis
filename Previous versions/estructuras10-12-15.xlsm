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wladi_xiuikf2\Desktop\estructuras\"/>
    </mc:Choice>
  </mc:AlternateContent>
  <bookViews>
    <workbookView xWindow="0" yWindow="0" windowWidth="28800" windowHeight="12330"/>
  </bookViews>
  <sheets>
    <sheet name="datos" sheetId="1" r:id="rId1"/>
    <sheet name="rigidez_global_barra" sheetId="2" r:id="rId2"/>
    <sheet name="ensamblado_matrices_completo" sheetId="5" r:id="rId3"/>
    <sheet name="ke_reducida_solucion" sheetId="6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4" i="1" l="1"/>
  <c r="H3" i="1" l="1"/>
  <c r="H2" i="1"/>
</calcChain>
</file>

<file path=xl/comments1.xml><?xml version="1.0" encoding="utf-8"?>
<comments xmlns="http://schemas.openxmlformats.org/spreadsheetml/2006/main">
  <authors>
    <author>Wladi Arce</author>
  </authors>
  <commentList>
    <comment ref="J14" authorId="0" shapeId="0">
      <text>
        <r>
          <rPr>
            <b/>
            <sz val="9"/>
            <color indexed="81"/>
            <rFont val="Tahoma"/>
            <family val="2"/>
          </rPr>
          <t>Wladi Arce:
*************************************
HACER COINCIDIR UNIDADES ENTRE E y F
*************************************
NUDOS Y BARRAS ORDENADOS NUMERICAMENTE ASCENDENTE
*************************************
EN LAS RESTRICCIONES
1 = MOVIMIENTO RESTINGIDO
0 = MOVIMIENTO PERMITIDO
F Nudos y F Empotramiento:
     - REFERENCIADAS A COORD. GLOBALES</t>
        </r>
      </text>
    </comment>
  </commentList>
</comments>
</file>

<file path=xl/sharedStrings.xml><?xml version="1.0" encoding="utf-8"?>
<sst xmlns="http://schemas.openxmlformats.org/spreadsheetml/2006/main" count="39" uniqueCount="35">
  <si>
    <t>N barra</t>
  </si>
  <si>
    <t>Nudo i</t>
  </si>
  <si>
    <t>Nudo j</t>
  </si>
  <si>
    <t>NUDOS</t>
  </si>
  <si>
    <t>MATRIZ RIGIDEZ LOCAL BARRA 1</t>
  </si>
  <si>
    <t>MATRIZ CAMBIO COORDENADAS BARRA 1</t>
  </si>
  <si>
    <t>MATRIZ RIGIDEZ GLOBAL BARRA 1</t>
  </si>
  <si>
    <t>MATRIZ RIGIDEZ LOCAL BARRA 2</t>
  </si>
  <si>
    <t>MATRIZ CAMBIO COORDENADAS BARRA 2</t>
  </si>
  <si>
    <t>MATRIZ RIGIDEZ GLOBAL BARRA 2</t>
  </si>
  <si>
    <t>A (m2)</t>
  </si>
  <si>
    <t>L (m)</t>
  </si>
  <si>
    <t>E (N/m2)</t>
  </si>
  <si>
    <t>I (m4)</t>
  </si>
  <si>
    <t>alfa (rad)</t>
  </si>
  <si>
    <t>Rx 1</t>
  </si>
  <si>
    <t>Ry 1</t>
  </si>
  <si>
    <t>despX 2</t>
  </si>
  <si>
    <t>despY 2</t>
  </si>
  <si>
    <t>giro 2</t>
  </si>
  <si>
    <t>RESULTADOS</t>
  </si>
  <si>
    <t>Fx (ext)</t>
  </si>
  <si>
    <t>Fy (ext)</t>
  </si>
  <si>
    <t>M (ext)</t>
  </si>
  <si>
    <t>despY 3</t>
  </si>
  <si>
    <t>Fx(emp)</t>
  </si>
  <si>
    <t>Fy (emp)</t>
  </si>
  <si>
    <t>M (emp)</t>
  </si>
  <si>
    <t>Restringir Δx</t>
  </si>
  <si>
    <t>Restringir Δy</t>
  </si>
  <si>
    <r>
      <t xml:space="preserve">Restringir </t>
    </r>
    <r>
      <rPr>
        <sz val="11"/>
        <color theme="1"/>
        <rFont val="Calibri"/>
        <family val="2"/>
      </rPr>
      <t>θ</t>
    </r>
  </si>
  <si>
    <t>INFORMACION</t>
  </si>
  <si>
    <t>M 1</t>
  </si>
  <si>
    <t>Rx 3</t>
  </si>
  <si>
    <t>M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</si>
</sst>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9"/>
      <color indexed="81"/>
      <name val="Tahoma"/>
      <family val="2"/>
    </font>
    <font>
      <b/>
      <i/>
      <sz val="12"/>
      <color theme="1"/>
      <name val="Calibri"/>
      <family val="2"/>
      <scheme val="minor"/>
    </font>
    <font>
      <sz val="11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7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2" borderId="1" xfId="0" applyFill="1" applyBorder="1"/>
    <xf numFmtId="0" fontId="0" fillId="0" borderId="2" xfId="0" applyBorder="1" applyAlignment="1"/>
    <xf numFmtId="0" fontId="0" fillId="0" borderId="0" xfId="0" applyAlignment="1"/>
    <xf numFmtId="0" fontId="0" fillId="0" borderId="0" xfId="0" applyFill="1" applyBorder="1" applyAlignmen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1" xfId="0" applyFill="1" applyBorder="1"/>
    <xf numFmtId="0" fontId="0" fillId="10" borderId="0" xfId="0" applyFill="1"/>
    <xf numFmtId="0" fontId="1" fillId="2" borderId="1" xfId="0" applyFont="1" applyFill="1" applyBorder="1"/>
    <xf numFmtId="0" fontId="3" fillId="11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419100</xdr:colOff>
          <xdr:row>0</xdr:row>
          <xdr:rowOff>85725</xdr:rowOff>
        </xdr:from>
        <xdr:to>
          <xdr:col>10</xdr:col>
          <xdr:colOff>428625</xdr:colOff>
          <xdr:row>3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419100</xdr:colOff>
          <xdr:row>8</xdr:row>
          <xdr:rowOff>85725</xdr:rowOff>
        </xdr:from>
        <xdr:to>
          <xdr:col>10</xdr:col>
          <xdr:colOff>428625</xdr:colOff>
          <xdr:row>11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Borrar hojas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419100</xdr:colOff>
          <xdr:row>4</xdr:row>
          <xdr:rowOff>38100</xdr:rowOff>
        </xdr:from>
        <xdr:to>
          <xdr:col>10</xdr:col>
          <xdr:colOff>428625</xdr:colOff>
          <xdr:row>7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Cargar Barras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U14"/>
  <sheetViews>
    <sheetView showGridLines="0" tabSelected="1" topLeftCell="E1" workbookViewId="0">
      <selection activeCell="U5" sqref="U5"/>
    </sheetView>
  </sheetViews>
  <sheetFormatPr baseColWidth="10" defaultRowHeight="15" x14ac:dyDescent="0.25"/>
  <cols>
    <col min="1" max="3" width="8.7109375" customWidth="1"/>
    <col min="4" max="8" width="12.7109375" customWidth="1"/>
    <col min="9" max="11" width="16.140625" customWidth="1"/>
    <col min="12" max="12" width="8.7109375" customWidth="1"/>
    <col min="13" max="21" width="12.7109375" customWidth="1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10</v>
      </c>
      <c r="E1" s="1" t="s">
        <v>11</v>
      </c>
      <c r="F1" s="1" t="s">
        <v>12</v>
      </c>
      <c r="G1" s="1" t="s">
        <v>13</v>
      </c>
      <c r="H1" s="1" t="s">
        <v>14</v>
      </c>
      <c r="L1" s="1" t="s">
        <v>3</v>
      </c>
      <c r="M1" s="13" t="s">
        <v>28</v>
      </c>
      <c r="N1" s="1" t="s">
        <v>29</v>
      </c>
      <c r="O1" s="1" t="s">
        <v>30</v>
      </c>
      <c r="P1" s="11" t="s">
        <v>21</v>
      </c>
      <c r="Q1" s="11" t="s">
        <v>22</v>
      </c>
      <c r="R1" s="11" t="s">
        <v>23</v>
      </c>
      <c r="S1" s="12" t="s">
        <v>25</v>
      </c>
      <c r="T1" s="12" t="s">
        <v>26</v>
      </c>
      <c r="U1" s="12" t="s">
        <v>27</v>
      </c>
    </row>
    <row r="2" spans="1:21" x14ac:dyDescent="0.25">
      <c r="A2">
        <v>1</v>
      </c>
      <c r="B2">
        <v>1</v>
      </c>
      <c r="C2">
        <v>2</v>
      </c>
      <c r="D2" s="2">
        <v>5.3800000000000002E-3</v>
      </c>
      <c r="E2" s="4">
        <v>7</v>
      </c>
      <c r="F2" s="4">
        <v>210000000</v>
      </c>
      <c r="G2" s="4">
        <v>8.3599999999999999E-5</v>
      </c>
      <c r="H2">
        <f>(PI()/2)</f>
        <v>1.5707963267948966</v>
      </c>
      <c r="L2">
        <v>1</v>
      </c>
      <c r="M2">
        <v>1</v>
      </c>
      <c r="N2">
        <v>1</v>
      </c>
      <c r="O2">
        <v>1</v>
      </c>
      <c r="P2">
        <v>0</v>
      </c>
      <c r="Q2">
        <v>0</v>
      </c>
      <c r="R2">
        <v>0</v>
      </c>
      <c r="S2">
        <v>-3.85</v>
      </c>
      <c r="T2">
        <v>0</v>
      </c>
      <c r="U2">
        <v>4.4909999999999997</v>
      </c>
    </row>
    <row r="3" spans="1:21" x14ac:dyDescent="0.25">
      <c r="A3">
        <v>2</v>
      </c>
      <c r="B3">
        <v>2</v>
      </c>
      <c r="C3">
        <v>3</v>
      </c>
      <c r="D3" s="3">
        <v>5.3800000000000002E-3</v>
      </c>
      <c r="E3" s="3">
        <v>12.561999999999999</v>
      </c>
      <c r="F3" s="4">
        <v>210000000</v>
      </c>
      <c r="G3" s="4">
        <v>8.3599999999999999E-5</v>
      </c>
      <c r="H3">
        <f>5.71*PI()/180</f>
        <v>9.965830028887622E-2</v>
      </c>
      <c r="L3">
        <v>2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-3.85</v>
      </c>
      <c r="T3">
        <v>14.44</v>
      </c>
      <c r="U3">
        <v>25.75</v>
      </c>
    </row>
    <row r="4" spans="1:21" x14ac:dyDescent="0.25">
      <c r="D4" s="3"/>
      <c r="E4" s="3"/>
      <c r="F4" s="3"/>
      <c r="G4" s="3"/>
      <c r="L4">
        <v>3</v>
      </c>
      <c r="M4">
        <v>1</v>
      </c>
      <c r="N4">
        <v>0</v>
      </c>
      <c r="O4">
        <v>1</v>
      </c>
      <c r="P4">
        <v>0</v>
      </c>
      <c r="Q4">
        <v>0</v>
      </c>
      <c r="R4">
        <v>0</v>
      </c>
      <c r="S4">
        <v>0</v>
      </c>
      <c r="T4">
        <v>14.44</v>
      </c>
      <c r="U4">
        <f>-2.3*E3*E3/12</f>
        <v>-30.245736766666663</v>
      </c>
    </row>
    <row r="5" spans="1:21" x14ac:dyDescent="0.25">
      <c r="D5" s="3"/>
      <c r="E5" s="3"/>
      <c r="F5" s="4"/>
      <c r="G5" s="4"/>
    </row>
    <row r="13" spans="1:21" ht="15.75" thickBot="1" x14ac:dyDescent="0.3"/>
    <row r="14" spans="1:21" ht="16.5" thickBot="1" x14ac:dyDescent="0.3">
      <c r="J14" s="14" t="s">
        <v>31</v>
      </c>
    </row>
  </sheetData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lcular_estructura">
                <anchor moveWithCells="1" sizeWithCells="1">
                  <from>
                    <xdr:col>8</xdr:col>
                    <xdr:colOff>419100</xdr:colOff>
                    <xdr:row>0</xdr:row>
                    <xdr:rowOff>85725</xdr:rowOff>
                  </from>
                  <to>
                    <xdr:col>10</xdr:col>
                    <xdr:colOff>428625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limpiar_hoja">
                <anchor moveWithCells="1" sizeWithCells="1">
                  <from>
                    <xdr:col>8</xdr:col>
                    <xdr:colOff>419100</xdr:colOff>
                    <xdr:row>8</xdr:row>
                    <xdr:rowOff>85725</xdr:rowOff>
                  </from>
                  <to>
                    <xdr:col>10</xdr:col>
                    <xdr:colOff>428625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argar_barras">
                <anchor moveWithCells="1" sizeWithCells="1">
                  <from>
                    <xdr:col>8</xdr:col>
                    <xdr:colOff>419100</xdr:colOff>
                    <xdr:row>4</xdr:row>
                    <xdr:rowOff>38100</xdr:rowOff>
                  </from>
                  <to>
                    <xdr:col>10</xdr:col>
                    <xdr:colOff>428625</xdr:colOff>
                    <xdr:row>7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T15"/>
  <sheetViews>
    <sheetView zoomScaleNormal="100" workbookViewId="0">
      <selection activeCell="O2" sqref="O2"/>
    </sheetView>
  </sheetViews>
  <sheetFormatPr baseColWidth="10" defaultRowHeight="15" x14ac:dyDescent="0.25"/>
  <cols>
    <col min="8" max="8" width="12" bestFit="1" customWidth="1"/>
    <col min="22" max="30" width="11.5703125" bestFit="1" customWidth="1"/>
    <col min="31" max="31" width="12.28515625" bestFit="1" customWidth="1"/>
    <col min="32" max="36" width="11.5703125" bestFit="1" customWidth="1"/>
  </cols>
  <sheetData>
    <row r="1" spans="1:20" x14ac:dyDescent="0.25">
      <c r="A1" t="s">
        <v>4</v>
      </c>
      <c r="H1" t="s">
        <v>5</v>
      </c>
      <c r="O1" t="s">
        <v>6</v>
      </c>
    </row>
    <row r="2" spans="1:20" x14ac:dyDescent="0.25">
      <c r="A2" s="5">
        <v>161400</v>
      </c>
      <c r="B2" s="5">
        <v>0</v>
      </c>
      <c r="C2" s="5">
        <v>0</v>
      </c>
      <c r="D2" s="5">
        <v>-161400</v>
      </c>
      <c r="E2" s="5">
        <v>0</v>
      </c>
      <c r="F2" s="5">
        <v>0</v>
      </c>
      <c r="H2" s="6">
        <v>0</v>
      </c>
      <c r="I2" s="6">
        <v>-1</v>
      </c>
      <c r="J2" s="6">
        <v>0</v>
      </c>
      <c r="K2" s="6">
        <v>0</v>
      </c>
      <c r="L2" s="6">
        <v>0</v>
      </c>
      <c r="M2" s="6">
        <v>0</v>
      </c>
      <c r="O2" s="7">
        <v>614.20408163265301</v>
      </c>
      <c r="P2" s="7">
        <v>0</v>
      </c>
      <c r="Q2" s="7">
        <v>-2149.7142857142858</v>
      </c>
      <c r="R2" s="7">
        <v>-614.20408163265301</v>
      </c>
      <c r="S2" s="7">
        <v>0</v>
      </c>
      <c r="T2" s="7">
        <v>-2149.7142857142858</v>
      </c>
    </row>
    <row r="3" spans="1:20" x14ac:dyDescent="0.25">
      <c r="A3" s="5">
        <v>0</v>
      </c>
      <c r="B3" s="5">
        <v>614.20408163265301</v>
      </c>
      <c r="C3" s="5">
        <v>2149.7142857142858</v>
      </c>
      <c r="D3" s="5">
        <v>0</v>
      </c>
      <c r="E3" s="5">
        <v>-614.20408163265301</v>
      </c>
      <c r="F3" s="5">
        <v>2149.7142857142858</v>
      </c>
      <c r="H3" s="6">
        <v>1</v>
      </c>
      <c r="I3" s="6">
        <v>0</v>
      </c>
      <c r="J3" s="6">
        <v>0</v>
      </c>
      <c r="K3" s="6">
        <v>0</v>
      </c>
      <c r="L3" s="6">
        <v>0</v>
      </c>
      <c r="M3" s="6">
        <v>0</v>
      </c>
      <c r="O3" s="7">
        <v>0</v>
      </c>
      <c r="P3" s="7">
        <v>161400</v>
      </c>
      <c r="Q3" s="7">
        <v>0</v>
      </c>
      <c r="R3" s="7">
        <v>0</v>
      </c>
      <c r="S3" s="7">
        <v>-161400</v>
      </c>
      <c r="T3" s="7">
        <v>0</v>
      </c>
    </row>
    <row r="4" spans="1:20" x14ac:dyDescent="0.25">
      <c r="A4" s="5">
        <v>0</v>
      </c>
      <c r="B4" s="5">
        <v>2149.7142857142858</v>
      </c>
      <c r="C4" s="5">
        <v>10032</v>
      </c>
      <c r="D4" s="5">
        <v>0</v>
      </c>
      <c r="E4" s="5">
        <v>-2149.7142857142858</v>
      </c>
      <c r="F4" s="5">
        <v>5016</v>
      </c>
      <c r="H4" s="6">
        <v>0</v>
      </c>
      <c r="I4" s="6">
        <v>0</v>
      </c>
      <c r="J4" s="6">
        <v>1</v>
      </c>
      <c r="K4" s="6">
        <v>0</v>
      </c>
      <c r="L4" s="6">
        <v>0</v>
      </c>
      <c r="M4" s="6">
        <v>0</v>
      </c>
      <c r="O4" s="7">
        <v>-2149.7142857142858</v>
      </c>
      <c r="P4" s="7">
        <v>0</v>
      </c>
      <c r="Q4" s="7">
        <v>10032</v>
      </c>
      <c r="R4" s="7">
        <v>2149.7142857142858</v>
      </c>
      <c r="S4" s="7">
        <v>0</v>
      </c>
      <c r="T4" s="7">
        <v>5016</v>
      </c>
    </row>
    <row r="5" spans="1:20" x14ac:dyDescent="0.25">
      <c r="A5" s="5">
        <v>-161400</v>
      </c>
      <c r="B5" s="5">
        <v>0</v>
      </c>
      <c r="C5" s="5">
        <v>0</v>
      </c>
      <c r="D5" s="5">
        <v>161400</v>
      </c>
      <c r="E5" s="5">
        <v>0</v>
      </c>
      <c r="F5" s="5">
        <v>0</v>
      </c>
      <c r="H5" s="6">
        <v>0</v>
      </c>
      <c r="I5" s="6">
        <v>0</v>
      </c>
      <c r="J5" s="6">
        <v>0</v>
      </c>
      <c r="K5" s="6">
        <v>0</v>
      </c>
      <c r="L5" s="6">
        <v>-1</v>
      </c>
      <c r="M5" s="6">
        <v>0</v>
      </c>
      <c r="O5" s="7">
        <v>-614.20408163265301</v>
      </c>
      <c r="P5" s="7">
        <v>0</v>
      </c>
      <c r="Q5" s="7">
        <v>2149.7142857142858</v>
      </c>
      <c r="R5" s="7">
        <v>614.20408163265301</v>
      </c>
      <c r="S5" s="7">
        <v>0</v>
      </c>
      <c r="T5" s="7">
        <v>2149.7142857142858</v>
      </c>
    </row>
    <row r="6" spans="1:20" x14ac:dyDescent="0.25">
      <c r="A6" s="5">
        <v>0</v>
      </c>
      <c r="B6" s="5">
        <v>-614.20408163265301</v>
      </c>
      <c r="C6" s="5">
        <v>-2149.7142857142858</v>
      </c>
      <c r="D6" s="5">
        <v>0</v>
      </c>
      <c r="E6" s="5">
        <v>614.20408163265301</v>
      </c>
      <c r="F6" s="5">
        <v>-2149.7142857142858</v>
      </c>
      <c r="H6" s="6">
        <v>0</v>
      </c>
      <c r="I6" s="6">
        <v>0</v>
      </c>
      <c r="J6" s="6">
        <v>0</v>
      </c>
      <c r="K6" s="6">
        <v>1</v>
      </c>
      <c r="L6" s="6">
        <v>0</v>
      </c>
      <c r="M6" s="6">
        <v>0</v>
      </c>
      <c r="O6" s="7">
        <v>0</v>
      </c>
      <c r="P6" s="7">
        <v>-161400</v>
      </c>
      <c r="Q6" s="7">
        <v>0</v>
      </c>
      <c r="R6" s="7">
        <v>0</v>
      </c>
      <c r="S6" s="7">
        <v>161400</v>
      </c>
      <c r="T6" s="7">
        <v>0</v>
      </c>
    </row>
    <row r="7" spans="1:20" x14ac:dyDescent="0.25">
      <c r="A7" s="5">
        <v>0</v>
      </c>
      <c r="B7" s="5">
        <v>2149.7142857142858</v>
      </c>
      <c r="C7" s="5">
        <v>5016</v>
      </c>
      <c r="D7" s="5">
        <v>0</v>
      </c>
      <c r="E7" s="5">
        <v>-2149.7142857142858</v>
      </c>
      <c r="F7" s="5">
        <v>10032</v>
      </c>
      <c r="H7" s="6">
        <v>0</v>
      </c>
      <c r="I7" s="6">
        <v>0</v>
      </c>
      <c r="J7" s="6">
        <v>0</v>
      </c>
      <c r="K7" s="6">
        <v>0</v>
      </c>
      <c r="L7" s="6">
        <v>0</v>
      </c>
      <c r="M7" s="6">
        <v>1</v>
      </c>
      <c r="O7" s="7">
        <v>-2149.7142857142858</v>
      </c>
      <c r="P7" s="7">
        <v>0</v>
      </c>
      <c r="Q7" s="7">
        <v>5016</v>
      </c>
      <c r="R7" s="7">
        <v>2149.7142857142858</v>
      </c>
      <c r="S7" s="7">
        <v>0</v>
      </c>
      <c r="T7" s="7">
        <v>10032</v>
      </c>
    </row>
    <row r="9" spans="1:20" x14ac:dyDescent="0.25">
      <c r="A9" t="s">
        <v>7</v>
      </c>
      <c r="H9" t="s">
        <v>8</v>
      </c>
      <c r="O9" t="s">
        <v>9</v>
      </c>
    </row>
    <row r="10" spans="1:20" x14ac:dyDescent="0.25">
      <c r="A10" s="5">
        <v>89937.90797643688</v>
      </c>
      <c r="B10" s="5">
        <v>0</v>
      </c>
      <c r="C10" s="5">
        <v>0</v>
      </c>
      <c r="D10" s="5">
        <v>-89937.90797643688</v>
      </c>
      <c r="E10" s="5">
        <v>0</v>
      </c>
      <c r="F10" s="5">
        <v>0</v>
      </c>
      <c r="H10" s="6">
        <v>0.99503822019999999</v>
      </c>
      <c r="I10" s="6">
        <v>-9.9493418200000003E-2</v>
      </c>
      <c r="J10" s="6">
        <v>0</v>
      </c>
      <c r="K10" s="6">
        <v>0</v>
      </c>
      <c r="L10" s="6">
        <v>0</v>
      </c>
      <c r="M10" s="6">
        <v>0</v>
      </c>
      <c r="O10" s="7">
        <v>89048.669999235906</v>
      </c>
      <c r="P10" s="7">
        <v>8893.3095612381749</v>
      </c>
      <c r="Q10" s="7">
        <v>-66.413076094110863</v>
      </c>
      <c r="R10" s="7">
        <v>-89048.669999235906</v>
      </c>
      <c r="S10" s="7">
        <v>-8893.3095612381749</v>
      </c>
      <c r="T10" s="7">
        <v>-66.413076094110863</v>
      </c>
    </row>
    <row r="11" spans="1:20" x14ac:dyDescent="0.25">
      <c r="A11" s="5">
        <v>0</v>
      </c>
      <c r="B11" s="5">
        <v>106.27483785154239</v>
      </c>
      <c r="C11" s="5">
        <v>667.51225654553764</v>
      </c>
      <c r="D11" s="5">
        <v>0</v>
      </c>
      <c r="E11" s="5">
        <v>-106.27483785154239</v>
      </c>
      <c r="F11" s="5">
        <v>667.51225654553764</v>
      </c>
      <c r="H11" s="6">
        <v>9.9493418200000003E-2</v>
      </c>
      <c r="I11" s="6">
        <v>0.99503822019999999</v>
      </c>
      <c r="J11" s="6">
        <v>0</v>
      </c>
      <c r="K11" s="6">
        <v>0</v>
      </c>
      <c r="L11" s="6">
        <v>0</v>
      </c>
      <c r="M11" s="6">
        <v>0</v>
      </c>
      <c r="O11" s="7">
        <v>8893.3095612381749</v>
      </c>
      <c r="P11" s="7">
        <v>995.51280820049396</v>
      </c>
      <c r="Q11" s="7">
        <v>664.20020771475754</v>
      </c>
      <c r="R11" s="7">
        <v>-8893.3095612381749</v>
      </c>
      <c r="S11" s="7">
        <v>-995.51280820049396</v>
      </c>
      <c r="T11" s="7">
        <v>664.20020771475754</v>
      </c>
    </row>
    <row r="12" spans="1:20" x14ac:dyDescent="0.25">
      <c r="A12" s="5">
        <v>0</v>
      </c>
      <c r="B12" s="5">
        <v>667.51225654553764</v>
      </c>
      <c r="C12" s="5">
        <v>5590.1926444833625</v>
      </c>
      <c r="D12" s="5">
        <v>0</v>
      </c>
      <c r="E12" s="5">
        <v>-667.51225654553764</v>
      </c>
      <c r="F12" s="5">
        <v>2795.0963222416813</v>
      </c>
      <c r="H12" s="6">
        <v>0</v>
      </c>
      <c r="I12" s="6">
        <v>0</v>
      </c>
      <c r="J12" s="6">
        <v>1</v>
      </c>
      <c r="K12" s="6">
        <v>0</v>
      </c>
      <c r="L12" s="6">
        <v>0</v>
      </c>
      <c r="M12" s="6">
        <v>0</v>
      </c>
      <c r="O12" s="7">
        <v>-66.413076094110863</v>
      </c>
      <c r="P12" s="7">
        <v>664.20020771475754</v>
      </c>
      <c r="Q12" s="7">
        <v>5590.1926444833625</v>
      </c>
      <c r="R12" s="7">
        <v>66.413076094110863</v>
      </c>
      <c r="S12" s="7">
        <v>-664.20020771475754</v>
      </c>
      <c r="T12" s="7">
        <v>2795.0963222416813</v>
      </c>
    </row>
    <row r="13" spans="1:20" x14ac:dyDescent="0.25">
      <c r="A13" s="5">
        <v>-89937.90797643688</v>
      </c>
      <c r="B13" s="5">
        <v>0</v>
      </c>
      <c r="C13" s="5">
        <v>0</v>
      </c>
      <c r="D13" s="5">
        <v>89937.90797643688</v>
      </c>
      <c r="E13" s="5">
        <v>0</v>
      </c>
      <c r="F13" s="5">
        <v>0</v>
      </c>
      <c r="H13" s="6">
        <v>0</v>
      </c>
      <c r="I13" s="6">
        <v>0</v>
      </c>
      <c r="J13" s="6">
        <v>0</v>
      </c>
      <c r="K13" s="6">
        <v>0.99503822019999999</v>
      </c>
      <c r="L13" s="6">
        <v>-9.9493418200000003E-2</v>
      </c>
      <c r="M13" s="6">
        <v>0</v>
      </c>
      <c r="O13" s="7">
        <v>-89048.669999235906</v>
      </c>
      <c r="P13" s="7">
        <v>-8893.3095612381749</v>
      </c>
      <c r="Q13" s="7">
        <v>66.413076094110863</v>
      </c>
      <c r="R13" s="7">
        <v>89048.669999235906</v>
      </c>
      <c r="S13" s="7">
        <v>8893.3095612381749</v>
      </c>
      <c r="T13" s="7">
        <v>66.413076094110863</v>
      </c>
    </row>
    <row r="14" spans="1:20" x14ac:dyDescent="0.25">
      <c r="A14" s="5">
        <v>0</v>
      </c>
      <c r="B14" s="5">
        <v>-106.27483785154239</v>
      </c>
      <c r="C14" s="5">
        <v>-667.51225654553764</v>
      </c>
      <c r="D14" s="5">
        <v>0</v>
      </c>
      <c r="E14" s="5">
        <v>106.27483785154239</v>
      </c>
      <c r="F14" s="5">
        <v>-667.51225654553764</v>
      </c>
      <c r="H14" s="6">
        <v>0</v>
      </c>
      <c r="I14" s="6">
        <v>0</v>
      </c>
      <c r="J14" s="6">
        <v>0</v>
      </c>
      <c r="K14" s="6">
        <v>9.9493418200000003E-2</v>
      </c>
      <c r="L14" s="6">
        <v>0.99503822019999999</v>
      </c>
      <c r="M14" s="6">
        <v>0</v>
      </c>
      <c r="O14" s="7">
        <v>-8893.3095612381749</v>
      </c>
      <c r="P14" s="7">
        <v>-995.51280820049396</v>
      </c>
      <c r="Q14" s="7">
        <v>-664.20020771475754</v>
      </c>
      <c r="R14" s="7">
        <v>8893.3095612381749</v>
      </c>
      <c r="S14" s="7">
        <v>995.51280820049396</v>
      </c>
      <c r="T14" s="7">
        <v>-664.20020771475754</v>
      </c>
    </row>
    <row r="15" spans="1:20" x14ac:dyDescent="0.25">
      <c r="A15" s="5">
        <v>0</v>
      </c>
      <c r="B15" s="5">
        <v>667.51225654553764</v>
      </c>
      <c r="C15" s="5">
        <v>2795.0963222416813</v>
      </c>
      <c r="D15" s="5">
        <v>0</v>
      </c>
      <c r="E15" s="5">
        <v>-667.51225654553764</v>
      </c>
      <c r="F15" s="5">
        <v>5590.1926444833625</v>
      </c>
      <c r="H15" s="6">
        <v>0</v>
      </c>
      <c r="I15" s="6">
        <v>0</v>
      </c>
      <c r="J15" s="6">
        <v>0</v>
      </c>
      <c r="K15" s="6">
        <v>0</v>
      </c>
      <c r="L15" s="6">
        <v>0</v>
      </c>
      <c r="M15" s="6">
        <v>1</v>
      </c>
      <c r="O15" s="7">
        <v>-66.413076094110863</v>
      </c>
      <c r="P15" s="7">
        <v>664.20020771475754</v>
      </c>
      <c r="Q15" s="7">
        <v>2795.0963222416813</v>
      </c>
      <c r="R15" s="7">
        <v>66.413076094110863</v>
      </c>
      <c r="S15" s="7">
        <v>-664.20020771475754</v>
      </c>
      <c r="T15" s="7">
        <v>5590.1926444833625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N9"/>
  <sheetViews>
    <sheetView workbookViewId="0">
      <selection activeCell="R1" sqref="R1"/>
    </sheetView>
  </sheetViews>
  <sheetFormatPr baseColWidth="10" defaultRowHeight="15" x14ac:dyDescent="0.25"/>
  <sheetData>
    <row r="1" spans="1:14" x14ac:dyDescent="0.25">
      <c r="A1" s="6">
        <v>614.20408163265301</v>
      </c>
      <c r="B1" s="6">
        <v>0</v>
      </c>
      <c r="C1" s="6">
        <v>-2149.7142857142858</v>
      </c>
      <c r="D1" s="6">
        <v>-614.20408163265301</v>
      </c>
      <c r="E1" s="6">
        <v>0</v>
      </c>
      <c r="F1" s="6">
        <v>-2149.7142857142858</v>
      </c>
      <c r="G1" s="6">
        <v>0</v>
      </c>
      <c r="H1" s="6">
        <v>0</v>
      </c>
      <c r="I1" s="6">
        <v>0</v>
      </c>
      <c r="K1" s="8" t="s">
        <v>15</v>
      </c>
      <c r="L1" s="10">
        <v>17.994159595118369</v>
      </c>
      <c r="M1" s="7">
        <v>0</v>
      </c>
      <c r="N1" s="10">
        <v>0</v>
      </c>
    </row>
    <row r="2" spans="1:14" x14ac:dyDescent="0.25">
      <c r="A2" s="6">
        <v>0</v>
      </c>
      <c r="B2" s="6">
        <v>161400</v>
      </c>
      <c r="C2" s="6">
        <v>0</v>
      </c>
      <c r="D2" s="6">
        <v>0</v>
      </c>
      <c r="E2" s="6">
        <v>-161400</v>
      </c>
      <c r="F2" s="6">
        <v>0</v>
      </c>
      <c r="G2" s="6">
        <v>0</v>
      </c>
      <c r="H2" s="6">
        <v>0</v>
      </c>
      <c r="I2" s="6">
        <v>0</v>
      </c>
      <c r="K2" s="8" t="s">
        <v>16</v>
      </c>
      <c r="L2" s="10">
        <v>28.87999602</v>
      </c>
      <c r="M2" s="7">
        <v>0</v>
      </c>
      <c r="N2" s="10">
        <v>0</v>
      </c>
    </row>
    <row r="3" spans="1:14" x14ac:dyDescent="0.25">
      <c r="A3" s="6">
        <v>-2149.7142857142858</v>
      </c>
      <c r="B3" s="6">
        <v>0</v>
      </c>
      <c r="C3" s="6">
        <v>10032</v>
      </c>
      <c r="D3" s="6">
        <v>2149.7142857142858</v>
      </c>
      <c r="E3" s="6">
        <v>0</v>
      </c>
      <c r="F3" s="6">
        <v>5016</v>
      </c>
      <c r="G3" s="6">
        <v>0</v>
      </c>
      <c r="H3" s="6">
        <v>0</v>
      </c>
      <c r="I3" s="6">
        <v>0</v>
      </c>
      <c r="K3" s="8" t="s">
        <v>32</v>
      </c>
      <c r="L3" s="10">
        <v>-56.881508219314284</v>
      </c>
      <c r="M3" s="7">
        <v>0</v>
      </c>
      <c r="N3" s="10">
        <v>0</v>
      </c>
    </row>
    <row r="4" spans="1:14" x14ac:dyDescent="0.25">
      <c r="A4" s="6">
        <v>-614.20408163265301</v>
      </c>
      <c r="B4" s="6">
        <v>0</v>
      </c>
      <c r="C4" s="6">
        <v>2149.7142857142858</v>
      </c>
      <c r="D4" s="6">
        <v>89662.874080868554</v>
      </c>
      <c r="E4" s="6">
        <v>8893.3095612381749</v>
      </c>
      <c r="F4" s="6">
        <v>2083.3012096201751</v>
      </c>
      <c r="G4" s="6">
        <v>-89048.669999235906</v>
      </c>
      <c r="H4" s="6">
        <v>-8893.3095612381749</v>
      </c>
      <c r="I4" s="6">
        <v>-66.413076094110863</v>
      </c>
      <c r="K4" s="8">
        <v>3.85</v>
      </c>
      <c r="M4" s="7" t="s">
        <v>17</v>
      </c>
      <c r="N4" s="10">
        <v>-1.45174676E-2</v>
      </c>
    </row>
    <row r="5" spans="1:14" x14ac:dyDescent="0.25">
      <c r="A5" s="6">
        <v>0</v>
      </c>
      <c r="B5" s="6">
        <v>-161400</v>
      </c>
      <c r="C5" s="6">
        <v>0</v>
      </c>
      <c r="D5" s="6">
        <v>8893.3095612381749</v>
      </c>
      <c r="E5" s="6">
        <v>162395.5128082005</v>
      </c>
      <c r="F5" s="6">
        <v>664.20020771475754</v>
      </c>
      <c r="G5" s="6">
        <v>-8893.3095612381749</v>
      </c>
      <c r="H5" s="6">
        <v>-995.51280820049396</v>
      </c>
      <c r="I5" s="6">
        <v>664.20020771475754</v>
      </c>
      <c r="K5" s="8">
        <v>-14.44</v>
      </c>
      <c r="M5" s="7" t="s">
        <v>18</v>
      </c>
      <c r="N5" s="10">
        <v>-1.789343E-4</v>
      </c>
    </row>
    <row r="6" spans="1:14" x14ac:dyDescent="0.25">
      <c r="A6" s="6">
        <v>-2149.7142857142858</v>
      </c>
      <c r="B6" s="6">
        <v>0</v>
      </c>
      <c r="C6" s="6">
        <v>5016</v>
      </c>
      <c r="D6" s="6">
        <v>2083.3012096201751</v>
      </c>
      <c r="E6" s="6">
        <v>664.20020771475754</v>
      </c>
      <c r="F6" s="6">
        <v>15622.192644483363</v>
      </c>
      <c r="G6" s="6">
        <v>66.413076094110863</v>
      </c>
      <c r="H6" s="6">
        <v>-664.20020771475754</v>
      </c>
      <c r="I6" s="6">
        <v>2795.0963222416813</v>
      </c>
      <c r="K6" s="8">
        <v>-25.75</v>
      </c>
      <c r="M6" s="7" t="s">
        <v>19</v>
      </c>
      <c r="N6" s="10">
        <v>-6.0135767000000003E-3</v>
      </c>
    </row>
    <row r="7" spans="1:14" x14ac:dyDescent="0.25">
      <c r="A7" s="6">
        <v>0</v>
      </c>
      <c r="B7" s="6">
        <v>0</v>
      </c>
      <c r="C7" s="6">
        <v>0</v>
      </c>
      <c r="D7" s="6">
        <v>-89048.669999235906</v>
      </c>
      <c r="E7" s="6">
        <v>-8893.3095612381749</v>
      </c>
      <c r="F7" s="6">
        <v>66.413076094110863</v>
      </c>
      <c r="G7" s="6">
        <v>89048.669999235906</v>
      </c>
      <c r="H7" s="6">
        <v>8893.3095612381749</v>
      </c>
      <c r="I7" s="6">
        <v>66.413076094110863</v>
      </c>
      <c r="K7" s="8" t="s">
        <v>33</v>
      </c>
      <c r="L7" s="10">
        <v>-25.694157998423407</v>
      </c>
      <c r="M7" s="7">
        <v>0</v>
      </c>
      <c r="N7" s="10">
        <v>0</v>
      </c>
    </row>
    <row r="8" spans="1:14" x14ac:dyDescent="0.25">
      <c r="A8" s="6">
        <v>0</v>
      </c>
      <c r="B8" s="6">
        <v>0</v>
      </c>
      <c r="C8" s="6">
        <v>0</v>
      </c>
      <c r="D8" s="6">
        <v>-8893.3095612381749</v>
      </c>
      <c r="E8" s="6">
        <v>-995.51280820049396</v>
      </c>
      <c r="F8" s="6">
        <v>-664.20020771475754</v>
      </c>
      <c r="G8" s="6">
        <v>8893.3095612381749</v>
      </c>
      <c r="H8" s="6">
        <v>995.51280820049396</v>
      </c>
      <c r="I8" s="6">
        <v>-664.20020771475754</v>
      </c>
      <c r="K8" s="8">
        <v>-14.44</v>
      </c>
      <c r="M8" s="7" t="s">
        <v>24</v>
      </c>
      <c r="N8" s="10">
        <v>-0.14838652229999999</v>
      </c>
    </row>
    <row r="9" spans="1:14" x14ac:dyDescent="0.25">
      <c r="A9" s="6">
        <v>0</v>
      </c>
      <c r="B9" s="6">
        <v>0</v>
      </c>
      <c r="C9" s="6">
        <v>0</v>
      </c>
      <c r="D9" s="6">
        <v>-66.413076094110863</v>
      </c>
      <c r="E9" s="6">
        <v>664.20020771475754</v>
      </c>
      <c r="F9" s="6">
        <v>2795.0963222416813</v>
      </c>
      <c r="G9" s="6">
        <v>66.413076094110863</v>
      </c>
      <c r="H9" s="6">
        <v>-664.20020771475754</v>
      </c>
      <c r="I9" s="6">
        <v>5590.1926444833625</v>
      </c>
      <c r="K9" s="8" t="s">
        <v>34</v>
      </c>
      <c r="L9" s="10">
        <v>52.34939753056085</v>
      </c>
      <c r="M9" s="7">
        <v>0</v>
      </c>
      <c r="N9" s="10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I9"/>
  <sheetViews>
    <sheetView workbookViewId="0"/>
  </sheetViews>
  <sheetFormatPr baseColWidth="10" defaultRowHeight="15" x14ac:dyDescent="0.25"/>
  <sheetData>
    <row r="1" spans="1:9" x14ac:dyDescent="0.25">
      <c r="A1" s="6">
        <v>89662.874080868554</v>
      </c>
      <c r="B1" s="6">
        <v>8893.3095612381749</v>
      </c>
      <c r="C1" s="6">
        <v>2083.3012096201751</v>
      </c>
      <c r="D1" s="6">
        <v>-8893.3095612381749</v>
      </c>
      <c r="F1" s="8">
        <v>3.85</v>
      </c>
      <c r="H1" s="7" t="s">
        <v>17</v>
      </c>
      <c r="I1" s="10">
        <v>-1.45174676E-2</v>
      </c>
    </row>
    <row r="2" spans="1:9" x14ac:dyDescent="0.25">
      <c r="A2" s="6">
        <v>8893.3095612381749</v>
      </c>
      <c r="B2" s="6">
        <v>162395.5128082005</v>
      </c>
      <c r="C2" s="6">
        <v>664.20020771475754</v>
      </c>
      <c r="D2" s="6">
        <v>-995.51280820049396</v>
      </c>
      <c r="F2" s="8">
        <v>-14.44</v>
      </c>
      <c r="H2" s="7" t="s">
        <v>18</v>
      </c>
      <c r="I2" s="10">
        <v>-1.789343E-4</v>
      </c>
    </row>
    <row r="3" spans="1:9" x14ac:dyDescent="0.25">
      <c r="A3" s="6">
        <v>2083.3012096201751</v>
      </c>
      <c r="B3" s="6">
        <v>664.20020771475754</v>
      </c>
      <c r="C3" s="6">
        <v>15622.192644483363</v>
      </c>
      <c r="D3" s="6">
        <v>-664.20020771475754</v>
      </c>
      <c r="F3" s="8">
        <v>-25.75</v>
      </c>
      <c r="H3" s="7" t="s">
        <v>19</v>
      </c>
      <c r="I3" s="10">
        <v>-6.0135767000000003E-3</v>
      </c>
    </row>
    <row r="4" spans="1:9" x14ac:dyDescent="0.25">
      <c r="A4" s="6">
        <v>-8893.3095612381749</v>
      </c>
      <c r="B4" s="6">
        <v>-995.51280820049396</v>
      </c>
      <c r="C4" s="6">
        <v>-664.20020771475754</v>
      </c>
      <c r="D4" s="6">
        <v>995.51280820049396</v>
      </c>
      <c r="F4" s="8">
        <v>-14.44</v>
      </c>
      <c r="H4" s="7" t="s">
        <v>24</v>
      </c>
      <c r="I4" s="10">
        <v>-0.14838652229999999</v>
      </c>
    </row>
    <row r="5" spans="1:9" x14ac:dyDescent="0.25">
      <c r="I5" t="s">
        <v>20</v>
      </c>
    </row>
    <row r="6" spans="1:9" x14ac:dyDescent="0.25">
      <c r="A6" s="9">
        <v>1.0823940615353311E-4</v>
      </c>
      <c r="B6" s="9">
        <v>-7.738870714370494E-23</v>
      </c>
      <c r="C6" s="9">
        <v>2.7455622930412135E-5</v>
      </c>
      <c r="D6" s="9">
        <v>9.8526364304067984E-4</v>
      </c>
    </row>
    <row r="7" spans="1:9" x14ac:dyDescent="0.25">
      <c r="A7" s="9">
        <v>-1.7184686928518016E-22</v>
      </c>
      <c r="B7" s="9">
        <v>6.1957868649318462E-6</v>
      </c>
      <c r="C7" s="9">
        <v>0</v>
      </c>
      <c r="D7" s="9">
        <v>6.1957868649318453E-6</v>
      </c>
    </row>
    <row r="8" spans="1:9" x14ac:dyDescent="0.25">
      <c r="A8" s="9">
        <v>2.7455622930412132E-5</v>
      </c>
      <c r="B8" s="9">
        <v>-2.7849164445752911E-23</v>
      </c>
      <c r="C8" s="9">
        <v>7.2844605205317037E-5</v>
      </c>
      <c r="D8" s="9">
        <v>2.9387342223540289E-4</v>
      </c>
    </row>
    <row r="9" spans="1:9" x14ac:dyDescent="0.25">
      <c r="A9" s="9">
        <v>9.8526364304067963E-4</v>
      </c>
      <c r="B9" s="9">
        <v>6.1957868649318453E-6</v>
      </c>
      <c r="C9" s="9">
        <v>2.9387342223540289E-4</v>
      </c>
      <c r="D9" s="9">
        <v>1.0008523514906808E-2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datos</vt:lpstr>
      <vt:lpstr>rigidez_global_barra</vt:lpstr>
      <vt:lpstr>ensamblado_matrices_completo</vt:lpstr>
      <vt:lpstr>ke_reducida_solucion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Wladi Arce</dc:creator>
  <cp:lastModifiedBy>Wladi Arce</cp:lastModifiedBy>
  <dcterms:created xsi:type="dcterms:W3CDTF">2015-12-02T13:57:34Z</dcterms:created>
  <dcterms:modified xsi:type="dcterms:W3CDTF">2015-12-11T11:17:54Z</dcterms:modified>
</cp:coreProperties>
</file>